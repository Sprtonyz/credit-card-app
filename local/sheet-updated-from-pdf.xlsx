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back up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56" formatCode="&quot;上午/下午 &quot;hh&quot;時&quot;mm&quot;分&quot;ss&quot;秒 &quot;"/>
    <numFmt numFmtId="164" formatCode="m/d/yyyy"/>
    <numFmt numFmtId="165" formatCode="mm/dd/yyyy"/>
    <numFmt numFmtId="166" formatCode="&quot;$&quot;#,##0.00"/>
    <numFmt numFmtId="167" formatCode="&quot;$&quot;#,##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NumberFormat="1"/>
    <xf numFmtId="164" fontId="0" fillId="0" borderId="0" xfId="0" applyNumberFormat="1"/>
    <xf numFmtId="166" fontId="0" fillId="0" borderId="0" xfId="0" applyNumberFormat="1"/>
    <xf numFmtId="2" fontId="0" fillId="0" borderId="0" xfId="0" applyNumberFormat="1"/>
    <xf numFmtId="165" fontId="0" fillId="0" borderId="0" xfId="0" applyNumberFormat="1"/>
    <xf numFmtId="49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dimension ref="A1:R154"/>
  <sheetViews>
    <sheetView workbookViewId="0" rightToLeft="0"/>
  </sheetViews>
  <cols>
    <col min="3" max="3" customWidth="1" width="70"/>
  </cols>
  <sheetData>
    <row r="1">
      <c r="A1" s="1">
        <v>46115.458333333336</v>
      </c>
      <c r="B1">
        <v>-25.58</v>
      </c>
      <c r="C1" t="str">
        <v>ALDI STORES WEST FOOTSCRA AUS</v>
      </c>
      <c r="D1" t="str">
        <v>t</v>
      </c>
      <c r="F1" t="str">
        <v>AT A GLANCE</v>
      </c>
      <c r="J1" t="str">
        <v>Split Pay (extra chipins)</v>
      </c>
      <c r="M1" t="str">
        <v>Halvies from our personal</v>
      </c>
      <c r="N1" t="str">
        <v>Tonys Rebates</v>
      </c>
      <c r="O1" t="str">
        <v>Nugs Rebate</v>
      </c>
      <c r="Q1" t="str">
        <v>Extra Costs</v>
      </c>
    </row>
    <row r="2">
      <c r="A2" s="1">
        <v>46116.458333333336</v>
      </c>
      <c r="B2">
        <v>-9.9</v>
      </c>
      <c r="C2" t="str">
        <v>KC CHA PTY LTD. CARLTON</v>
      </c>
      <c r="D2" t="str">
        <v>n</v>
      </c>
      <c r="F2" s="2">
        <f>SUMIF(D:D, "t", B:B)+Q3+Q4+N3+N2</f>
        <v>-1517.14</v>
      </c>
      <c r="G2" t="str">
        <v>Tony's Owing</v>
      </c>
      <c r="H2" s="2">
        <f>SUM(G17,G18)</f>
        <v>-1279.69</v>
      </c>
      <c r="J2" t="str">
        <v>Tony</v>
      </c>
      <c r="K2" t="str">
        <v>Nugs</v>
      </c>
      <c r="M2" s="2" t="str">
        <f>V2</f>
        <v/>
      </c>
      <c r="N2" s="2">
        <f>SUMIF(D:D, "cashback", B:B)/2</f>
        <v>0</v>
      </c>
      <c r="O2" s="2">
        <f>SUMIF(D:D, "cashback", B:B)/2</f>
        <v>0</v>
      </c>
      <c r="Q2" t="str">
        <v>Tony</v>
      </c>
      <c r="R2" t="str">
        <v>Nugs</v>
      </c>
    </row>
    <row r="3">
      <c r="A3" s="1">
        <v>46117.416666666664</v>
      </c>
      <c r="B3">
        <v>-7.9</v>
      </c>
      <c r="C3" t="str">
        <v>Krispy Kreme Highpoint Maribyrnong</v>
      </c>
      <c r="D3" t="str">
        <v>macq</v>
      </c>
      <c r="F3" s="2">
        <f>SUMIF(D:D, "n", B:B)+R3+R4+O3+O2</f>
        <v>-1597.51</v>
      </c>
      <c r="G3" t="str">
        <v>Nug's Owing</v>
      </c>
      <c r="J3" s="2">
        <f>SUM(Q3+N3:N13+Q4)</f>
        <v>0</v>
      </c>
      <c r="K3" s="2">
        <f>SUM(R3+O3:O13+R4)</f>
        <v>0</v>
      </c>
      <c r="N3" s="2">
        <f>SUMIF(D:D, "tr", B:B)</f>
        <v>0</v>
      </c>
      <c r="O3" s="2">
        <f>SUMIF(D:D, "nr", B:B)</f>
        <v>0</v>
      </c>
      <c r="Q3" s="2">
        <f>SUM(T2:T13,V2*0.666666)</f>
        <v>0</v>
      </c>
      <c r="R3" s="2">
        <f>SUM(U2:U13,V2)*0.333333</f>
        <v>0</v>
      </c>
    </row>
    <row r="4">
      <c r="A4" s="1">
        <v>46115.458333333336</v>
      </c>
      <c r="B4">
        <v>-42.8</v>
      </c>
      <c r="C4" t="str">
        <v>COLES Footscray</v>
      </c>
      <c r="D4" t="str">
        <v/>
      </c>
      <c r="F4" s="2">
        <f>SUMIF(D:D, "macq", B:B)+O4+O3</f>
        <v>-483.27</v>
      </c>
      <c r="G4" t="str">
        <v>Macquerie's Owing</v>
      </c>
      <c r="Q4" s="2">
        <f>R13</f>
        <v>0</v>
      </c>
      <c r="R4" s="2" t="str">
        <f>S13</f>
        <v/>
      </c>
    </row>
    <row r="5">
      <c r="A5" s="1">
        <v>46120.416666666664</v>
      </c>
      <c r="B5">
        <v>-89.5</v>
      </c>
      <c r="C5" t="str">
        <v>COLES Footscray</v>
      </c>
      <c r="D5" t="str">
        <v/>
      </c>
      <c r="F5" s="2">
        <f>SUMIF(D:D, "macqbill", B:B)+R5+O5+O4</f>
        <v>-479.69</v>
      </c>
      <c r="G5" t="str">
        <v>Macquerie's Billing Owing</v>
      </c>
    </row>
    <row r="6">
      <c r="F6" s="2">
        <f>SUMIF(D:D, "t", B:B)+Q3</f>
        <v>-1517.14</v>
      </c>
      <c r="G6" t="str">
        <v>Tony's Owing</v>
      </c>
    </row>
    <row r="7">
      <c r="F7" s="2">
        <f>SUMIF(D:D, "n", B:B)+R3</f>
        <v>-1597.51</v>
      </c>
      <c r="G7" t="str">
        <v>Nug's Owing</v>
      </c>
    </row>
    <row r="8">
      <c r="F8" s="2">
        <f>SUMIF(D:D, "macq", B:B)+S3</f>
        <v>-483.27</v>
      </c>
      <c r="G8" t="str">
        <v>Macquerie's Owing</v>
      </c>
    </row>
    <row r="9">
      <c r="F9" t="str">
        <v>Macq' Balance</v>
      </c>
      <c r="G9" s="2">
        <v>0</v>
      </c>
      <c r="H9" t="str">
        <v>&lt;-- Enter CC total. If green, good. If red, bad.</v>
      </c>
    </row>
    <row r="10">
      <c r="F10" s="2">
        <v>-800</v>
      </c>
      <c r="G10" s="2">
        <f>IF(F12&gt;=0, F4, "")</f>
        <v>-483.27</v>
      </c>
      <c r="H10">
        <v>6786.19</v>
      </c>
      <c r="I10" t="str">
        <v>-</v>
      </c>
    </row>
    <row r="11">
      <c r="F11" t="str">
        <v>Macquerie Excess</v>
      </c>
      <c r="G11" s="3" t="str">
        <v>Havies Distributed</v>
      </c>
      <c r="J11" t="str">
        <v>AT A GLANCE</v>
      </c>
    </row>
    <row r="12">
      <c r="F12" s="2">
        <f>SUM(F10-F4)*-1</f>
        <v>316.73</v>
      </c>
      <c r="G12" s="2">
        <f>IF(F12&gt;=0, 0, F12/2)*-1</f>
        <v>0</v>
      </c>
      <c r="J12" s="2">
        <f>SUM(847.935+244.25)</f>
        <v>1092.185</v>
      </c>
      <c r="K12" t="str">
        <v>Tony's Owing</v>
      </c>
      <c r="Q12" t="str">
        <v>Tony 2:1 Nugs</v>
      </c>
      <c r="R12" t="str">
        <v>Tony</v>
      </c>
    </row>
    <row r="13">
      <c r="J13" s="2">
        <v>858.4549999999999</v>
      </c>
      <c r="K13" t="str">
        <v>Nug's Owing</v>
      </c>
      <c r="Q13">
        <f>SUMIF(D:D, "Tony66", B:B)</f>
        <v>0</v>
      </c>
      <c r="R13" s="3">
        <f>SUM(Q13*0.75)</f>
        <v>0</v>
      </c>
    </row>
    <row r="14">
      <c r="G14" s="3" t="str">
        <v>TOTAL</v>
      </c>
      <c r="H14" s="2">
        <f>SUM(G15:G18)</f>
        <v>-4077.610317</v>
      </c>
      <c r="I14" s="2">
        <f>SUM(G17,G18)</f>
        <v>-1279.69</v>
      </c>
      <c r="J14" s="2">
        <v>800</v>
      </c>
      <c r="K14" t="str">
        <v>Macquerie's Owing</v>
      </c>
    </row>
    <row r="15">
      <c r="F15" t="str">
        <v>Tony:</v>
      </c>
      <c r="G15" s="2">
        <f>SUM(F2,G27)</f>
        <v>-1305.986878</v>
      </c>
      <c r="H15" s="2">
        <f>SUM(F6)</f>
        <v>-1517.14</v>
      </c>
      <c r="J15" s="2">
        <v>467.46</v>
      </c>
      <c r="K15" t="str">
        <v>Macquerie's Billing Owing</v>
      </c>
    </row>
    <row r="16">
      <c r="F16" t="str">
        <v>Nugs:</v>
      </c>
      <c r="G16" s="2">
        <f>SUM(F3,F27)</f>
        <v>-1491.933439</v>
      </c>
      <c r="H16" s="2">
        <f>SUM(F7)</f>
        <v>-1597.51</v>
      </c>
    </row>
    <row r="17">
      <c r="F17" t="str">
        <v>Macq:</v>
      </c>
      <c r="G17" s="2">
        <f>SUM(F4-F12)</f>
        <v>-800</v>
      </c>
      <c r="H17" s="2">
        <f>SUM(F8)</f>
        <v>-483.27</v>
      </c>
    </row>
    <row r="18">
      <c r="F18" t="str">
        <v>Macqbill:</v>
      </c>
      <c r="G18" s="2">
        <f>F5</f>
        <v>-479.69</v>
      </c>
    </row>
    <row r="19">
      <c r="G19" s="2">
        <f>SUM(G15:G18)</f>
        <v>-4077.610317</v>
      </c>
      <c r="H19" t="str">
        <v>&lt;-- Chip ins - G9. If green, good. If red, bad.</v>
      </c>
    </row>
    <row r="20">
      <c r="J20" t="str">
        <v>COMMON TRANSACTIONS</v>
      </c>
    </row>
    <row r="21">
      <c r="J21" t="str">
        <v>Paypal</v>
      </c>
      <c r="R21">
        <v>-1</v>
      </c>
    </row>
    <row r="22">
      <c r="F22" t="str">
        <v>Status</v>
      </c>
      <c r="G22" t="str">
        <v xml:space="preserve">UP TO DATE: </v>
      </c>
      <c r="J22" t="str">
        <v>Paypal *Netflix Aus 4029357733</v>
      </c>
      <c r="Q22">
        <v>-57.28</v>
      </c>
      <c r="R22">
        <f>SUM(Q22*$R$21)</f>
        <v>57.28</v>
      </c>
    </row>
    <row r="23">
      <c r="F23" t="str">
        <f>IF(I23=TRUE,"PAID","NOT PAID")</f>
        <v>PAID</v>
      </c>
      <c r="G23" t="str">
        <v>TONY</v>
      </c>
      <c r="H23" s="2">
        <f>IF(I23=TRUE,"",G15)-E46</f>
        <v>0</v>
      </c>
      <c r="I23" t="b">
        <v>1</v>
      </c>
      <c r="J23" t="str">
        <v>Ampol</v>
      </c>
      <c r="Q23">
        <v>-39.14</v>
      </c>
      <c r="R23">
        <f>SUM(Q23*$R$21)</f>
        <v>39.14</v>
      </c>
    </row>
    <row r="24">
      <c r="F24" t="str">
        <f>IF(I24=TRUE,"PAID","NOT PAID")</f>
        <v>PAID</v>
      </c>
      <c r="G24" t="str">
        <v>NUGS</v>
      </c>
      <c r="H24" s="2" t="str">
        <f>IF(I24=TRUE,"",G16)</f>
        <v/>
      </c>
      <c r="I24" t="b">
        <v>1</v>
      </c>
      <c r="J24" t="str">
        <v>Easypark</v>
      </c>
      <c r="Q24">
        <v>-80.96</v>
      </c>
      <c r="R24">
        <f>SUM(Q24*$R$21)</f>
        <v>80.96</v>
      </c>
    </row>
    <row r="25">
      <c r="F25" t="str">
        <f>IF(I25=TRUE,"PAID","NOT PAID")</f>
        <v>PAID</v>
      </c>
      <c r="G25" t="str">
        <v>MACQ</v>
      </c>
      <c r="H25" s="2" t="str">
        <f>IF(I25=TRUE,"",G17)</f>
        <v/>
      </c>
      <c r="I25" t="b">
        <v>1</v>
      </c>
      <c r="J25" t="str">
        <v>Ampol</v>
      </c>
      <c r="Q25">
        <v>-17.7</v>
      </c>
      <c r="R25">
        <f>SUM(Q25*$R$21)</f>
        <v>17.7</v>
      </c>
    </row>
    <row r="26">
      <c r="F26" t="str">
        <f>IF(I26=TRUE,"PAID","NOT PAID")</f>
        <v>PAID</v>
      </c>
      <c r="G26" t="str">
        <v>MACQBILL</v>
      </c>
      <c r="H26" s="2" t="str">
        <f>IF(I26=TRUE,"",G18)</f>
        <v/>
      </c>
      <c r="I26" t="b">
        <v>1</v>
      </c>
      <c r="J26" t="str">
        <v>Petbarn</v>
      </c>
      <c r="Q26">
        <v>-4.6</v>
      </c>
      <c r="R26">
        <f>SUM(Q26*$R$21)</f>
        <v>4.6</v>
      </c>
    </row>
    <row r="27">
      <c r="F27" s="2">
        <f>SUM(F12*0.333333)</f>
        <v>105.5765611</v>
      </c>
      <c r="G27" s="2">
        <f>SUM(F12*0.666666)</f>
        <v>211.1531222</v>
      </c>
      <c r="J27" t="str">
        <v>Gww</v>
      </c>
      <c r="Q27">
        <v>-89.6</v>
      </c>
      <c r="R27">
        <f>SUM(Q27*$R$21)</f>
        <v>89.6</v>
      </c>
    </row>
    <row r="28">
      <c r="G28" t="str">
        <v>At a Glance</v>
      </c>
      <c r="J28" t="str">
        <v>Amazon</v>
      </c>
      <c r="Q28">
        <v>-126</v>
      </c>
      <c r="R28">
        <f>SUM(Q28*$R$21)</f>
        <v>126</v>
      </c>
    </row>
    <row r="29">
      <c r="F29" t="str">
        <v>Grocery</v>
      </c>
      <c r="G29" s="2">
        <f>I44</f>
        <v>3818.31</v>
      </c>
      <c r="J29" t="str">
        <v>AGL</v>
      </c>
      <c r="Q29">
        <v>-109.77</v>
      </c>
      <c r="R29">
        <f>SUM(Q29*$R$21)</f>
        <v>109.77</v>
      </c>
    </row>
    <row r="30">
      <c r="F30" t="str">
        <v>Fast Food</v>
      </c>
      <c r="G30" s="2">
        <f>O37</f>
        <v>-41.9</v>
      </c>
      <c r="H30">
        <f>SUM(314.99)</f>
        <v>314.99</v>
      </c>
      <c r="J30" t="str">
        <v>Uniqlo</v>
      </c>
      <c r="Q30">
        <v>-30</v>
      </c>
      <c r="R30">
        <f>SUM(Q30*$R$21)</f>
        <v>30</v>
      </c>
    </row>
    <row r="31">
      <c r="F31" t="str">
        <v>Resturant/Cafe</v>
      </c>
      <c r="G31" s="2">
        <f>O42</f>
        <v>0</v>
      </c>
      <c r="H31">
        <f>SUM(H30/2)</f>
        <v>157.495</v>
      </c>
      <c r="Q31">
        <v>-37.5</v>
      </c>
      <c r="R31">
        <f>SUM(Q31*$R$21)</f>
        <v>37.5</v>
      </c>
    </row>
    <row r="32">
      <c r="G32" s="2">
        <f>SUM(G17:G18)</f>
        <v>-1279.69</v>
      </c>
      <c r="M32">
        <v>6333.78</v>
      </c>
      <c r="Q32">
        <v>-21.8</v>
      </c>
      <c r="R32">
        <f>SUM(Q32*$R$21)</f>
        <v>21.8</v>
      </c>
    </row>
    <row r="33">
      <c r="G33" s="2">
        <f>SUM(G15:G18)</f>
        <v>-4077.610317</v>
      </c>
      <c r="M33">
        <v>2969</v>
      </c>
      <c r="Q33">
        <v>-36.53</v>
      </c>
      <c r="R33">
        <f>SUM(Q33*$R$21)</f>
        <v>36.53</v>
      </c>
    </row>
    <row r="34">
      <c r="M34">
        <f>SUM(M32-M33)</f>
        <v>3364.78</v>
      </c>
      <c r="Q34">
        <v>-4.92</v>
      </c>
      <c r="R34">
        <f>SUM(Q34*$R$21)</f>
        <v>4.92</v>
      </c>
    </row>
    <row r="35">
      <c r="F35" t="str">
        <v>Tony:</v>
      </c>
      <c r="G35" s="2">
        <f>SUM(G15,G12)</f>
        <v>-1305.986878</v>
      </c>
      <c r="M35">
        <v>4489.87</v>
      </c>
      <c r="Q35">
        <v>-101.42</v>
      </c>
      <c r="R35">
        <f>SUM(Q35*$R$21)</f>
        <v>101.42</v>
      </c>
    </row>
    <row r="36">
      <c r="F36" t="str">
        <v>Nugs:</v>
      </c>
      <c r="G36" s="2">
        <f>SUM(G16-G12)</f>
        <v>-1491.933439</v>
      </c>
      <c r="M36">
        <f>SUM(M35-M34)</f>
        <v>1125.09</v>
      </c>
      <c r="Q36">
        <v>-13.32</v>
      </c>
      <c r="R36">
        <f>SUM(Q36*$R$21)</f>
        <v>13.32</v>
      </c>
    </row>
    <row r="37">
      <c r="N37">
        <v>2400</v>
      </c>
      <c r="O37">
        <f>SUM(O38:O40)</f>
        <v>-41.9</v>
      </c>
      <c r="Q37">
        <v>-4.5</v>
      </c>
      <c r="R37">
        <f>SUM(Q37*$R$21)</f>
        <v>4.5</v>
      </c>
    </row>
    <row r="38" xml:space="preserve">
      <c r="E38" t="str">
        <v>350 uniql;o</v>
      </c>
      <c r="M38">
        <f>SUM(M34-M36)</f>
        <v>2239.69</v>
      </c>
      <c r="N38" t="str">
        <v>sad458548412322</v>
      </c>
      <c r="O38" xml:space="preserve">
        <f xml:space="preserve">SUMPRODUCT(--(ISNUMBER(SEARCH(N38, C:C))), B:B)
</f>
        <v>0</v>
      </c>
      <c r="Q38">
        <v>-8.9</v>
      </c>
      <c r="R38">
        <f>SUM(Q38*$R$21)</f>
        <v>8.9</v>
      </c>
    </row>
    <row r="39" xml:space="preserve">
      <c r="E39" t="str">
        <v>25 w retail</v>
      </c>
      <c r="I39" s="2">
        <f>SUM(G15:G18)</f>
        <v>-4077.610317</v>
      </c>
      <c r="K39">
        <v>3533.71</v>
      </c>
      <c r="M39">
        <f>SUM(M33-M38)</f>
        <v>729.31</v>
      </c>
      <c r="N39" t="str">
        <v>Mcdonalds</v>
      </c>
      <c r="O39" xml:space="preserve">
        <f xml:space="preserve">SUMPRODUCT(--(ISNUMBER(SEARCH(N39, C:C))), B:B)
</f>
        <v>-41.9</v>
      </c>
      <c r="Q39">
        <v>-51.33</v>
      </c>
      <c r="R39">
        <f>SUM(Q39*$R$21)</f>
        <v>51.33</v>
      </c>
    </row>
    <row r="40" xml:space="preserve">
      <c r="E40" t="str">
        <v>100 spotlight</v>
      </c>
      <c r="I40" s="2">
        <f>SUM(3818.31+I39)</f>
        <v>-259.3003167</v>
      </c>
      <c r="K40">
        <v>475.13</v>
      </c>
      <c r="N40" t="str">
        <v>Pizza Hut</v>
      </c>
      <c r="O40" xml:space="preserve">
        <f xml:space="preserve">SUMPRODUCT(--(ISNUMBER(SEARCH(N40, C:C))), B:B)
</f>
        <v>0</v>
      </c>
      <c r="Q40">
        <v>-28.65</v>
      </c>
      <c r="R40">
        <f>SUM(Q40*$R$21)</f>
        <v>28.65</v>
      </c>
    </row>
    <row r="41">
      <c r="F41" s="2">
        <f>SUM(G17,G18)</f>
        <v>-1279.69</v>
      </c>
      <c r="I41">
        <f>SUM(2230.04+7.19)</f>
        <v>2237.23</v>
      </c>
      <c r="K41">
        <f>SUM(K39-K40)</f>
        <v>3058.58</v>
      </c>
      <c r="Q41">
        <v>-59.99</v>
      </c>
      <c r="R41">
        <f>SUM(Q41*$R$21)</f>
        <v>59.99</v>
      </c>
    </row>
    <row r="42">
      <c r="I42">
        <v>1104.66</v>
      </c>
      <c r="N42" t="str">
        <v>Resturant/Cafe</v>
      </c>
      <c r="O42">
        <f>SUM(O43:O60)</f>
        <v>0</v>
      </c>
      <c r="Q42">
        <v>-66.16</v>
      </c>
      <c r="R42">
        <f>SUM(Q42*$R$21)</f>
        <v>66.16</v>
      </c>
    </row>
    <row r="43" xml:space="preserve">
      <c r="I43">
        <v>476.42</v>
      </c>
      <c r="M43">
        <v>2969</v>
      </c>
      <c r="N43" t="str">
        <v>Ootoro</v>
      </c>
      <c r="O43" xml:space="preserve">
        <f xml:space="preserve">SUMPRODUCT(--(ISNUMBER(SEARCH(N43, C:C))), B:B)
</f>
        <v>0</v>
      </c>
      <c r="Q43">
        <v>-244.6</v>
      </c>
      <c r="R43">
        <f>SUM(Q43*$R$21)</f>
        <v>244.6</v>
      </c>
    </row>
    <row r="44" xml:space="preserve">
      <c r="I44">
        <f>SUM(I41:I43)</f>
        <v>3818.31</v>
      </c>
      <c r="M44">
        <v>2969</v>
      </c>
      <c r="N44" t="str">
        <v>Brunetti</v>
      </c>
      <c r="O44" xml:space="preserve">
        <f xml:space="preserve">SUMPRODUCT(--(ISNUMBER(SEARCH(N44, C:C))), B:B)
</f>
        <v>0</v>
      </c>
      <c r="Q44">
        <v>-12.99</v>
      </c>
      <c r="R44">
        <f>SUM(Q44*$R$21)</f>
        <v>12.99</v>
      </c>
    </row>
    <row r="45" xml:space="preserve">
      <c r="E45">
        <f>SUM(B12,B18,B24,B28,B31,B34,B43,B50,B57,B69,B75,B81,B88,B102,B104)</f>
        <v>-604.17</v>
      </c>
      <c r="F45">
        <f>SUM(442+1445+87.57)</f>
        <v>1974.57</v>
      </c>
      <c r="G45" s="2" t="str">
        <v>TOTAL TONY NUG OWING TO MACQBILL</v>
      </c>
      <c r="H45" t="str">
        <v>AS OF JUNE</v>
      </c>
      <c r="I45" s="2">
        <f>SUM(G15:G18)</f>
        <v>-4077.610317</v>
      </c>
      <c r="M45">
        <v>1125.0900000000001</v>
      </c>
      <c r="N45">
        <f>SUM(M44-M45)</f>
        <v>1843.91</v>
      </c>
      <c r="O45" xml:space="preserve">
        <f xml:space="preserve">SUMPRODUCT(--(ISNUMBER(SEARCH(N45, C:C))), B:B)
</f>
        <v>0</v>
      </c>
      <c r="Q45">
        <v>-26.7</v>
      </c>
      <c r="R45">
        <f>SUM(Q45*$R$21)</f>
        <v>26.7</v>
      </c>
    </row>
    <row r="46" xml:space="preserve">
      <c r="F46">
        <f>SUM(F45/4)</f>
        <v>493.6425</v>
      </c>
      <c r="G46" s="2" t="str">
        <v>PER MONTH</v>
      </c>
      <c r="H46" t="str">
        <v>EXP SEPT CYCLE</v>
      </c>
      <c r="I46">
        <f>SUM(1361.83+1355.97+1283.83)</f>
        <v>4001.63</v>
      </c>
      <c r="M46">
        <v>1843.9099999999999</v>
      </c>
      <c r="N46" t="str">
        <v>Chicken Cafe</v>
      </c>
      <c r="O46" xml:space="preserve">
        <f xml:space="preserve">SUMPRODUCT(--(ISNUMBER(SEARCH(N46, C:C))), B:B)
</f>
        <v>0</v>
      </c>
      <c r="Q46">
        <v>-42.96</v>
      </c>
      <c r="R46">
        <f>SUM(Q46*$R$21)</f>
        <v>42.96</v>
      </c>
    </row>
    <row r="47" xml:space="preserve">
      <c r="F47">
        <f xml:space="preserve">SUM(F46*0.33) </f>
        <v>162.902025</v>
      </c>
      <c r="G47" t="str">
        <v>NUGS</v>
      </c>
      <c r="N47" t="str">
        <v>First Taste</v>
      </c>
      <c r="O47" xml:space="preserve">
        <f xml:space="preserve">SUMPRODUCT(--(ISNUMBER(SEARCH(N47, C:C))), B:B)
</f>
        <v>0</v>
      </c>
      <c r="Q47">
        <v>-117.97</v>
      </c>
      <c r="R47">
        <f>SUM(Q47*$R$21)</f>
        <v>117.97</v>
      </c>
    </row>
    <row r="48" xml:space="preserve">
      <c r="F48">
        <f>SUM(F46*0.66)</f>
        <v>325.80405</v>
      </c>
      <c r="G48" t="str">
        <v>TONY</v>
      </c>
      <c r="N48" t="str">
        <v>Tori's</v>
      </c>
      <c r="O48" xml:space="preserve">
        <f xml:space="preserve">SUMPRODUCT(--(ISNUMBER(SEARCH(N48, C:C))), B:B)
</f>
        <v>0</v>
      </c>
      <c r="Q48">
        <v>-34.14</v>
      </c>
      <c r="R48">
        <f>SUM(Q48*$R$21)</f>
        <v>34.14</v>
      </c>
    </row>
    <row r="49" xml:space="preserve">
      <c r="F49" t="str">
        <v>NEXT CREDIT CARD</v>
      </c>
      <c r="G49">
        <f>SUM(F45-F46)</f>
        <v>1480.9275</v>
      </c>
      <c r="I49">
        <f>SUM(1361.83+283.83)</f>
        <v>1645.66</v>
      </c>
      <c r="J49" t="str">
        <v>tony</v>
      </c>
      <c r="N49" t="str">
        <v>Secret Lagoon</v>
      </c>
      <c r="O49" xml:space="preserve">
        <f xml:space="preserve">SUMPRODUCT(--(ISNUMBER(SEARCH(N49, C:C))), B:B)
</f>
        <v>0</v>
      </c>
      <c r="Q49">
        <v>-17.15</v>
      </c>
      <c r="R49">
        <f>SUM(Q49*$R$21)</f>
        <v>17.15</v>
      </c>
    </row>
    <row r="50" xml:space="preserve">
      <c r="I50">
        <f>SUM(561.83+800)</f>
        <v>1361.83</v>
      </c>
      <c r="N50" t="str">
        <v>Universal</v>
      </c>
      <c r="O50" xml:space="preserve">
        <f xml:space="preserve">SUMPRODUCT(--(ISNUMBER(SEARCH(N50, C:C))), B:B)
</f>
        <v>0</v>
      </c>
      <c r="Q50">
        <v>-53.98</v>
      </c>
      <c r="R50">
        <f>SUM(Q50*$R$21)</f>
        <v>53.98</v>
      </c>
    </row>
    <row r="51" xml:space="preserve">
      <c r="F51">
        <v>2432.6396736</v>
      </c>
      <c r="G51">
        <f>SUM(F51+F48)</f>
        <v>2758.443724</v>
      </c>
      <c r="I51">
        <f>SUM(4001.63)-(I49+I50)</f>
        <v>994.14</v>
      </c>
      <c r="N51" t="str">
        <v>Pie Thief</v>
      </c>
      <c r="O51" xml:space="preserve">
        <f xml:space="preserve">SUMPRODUCT(--(ISNUMBER(SEARCH(N51, C:C))), B:B)
</f>
        <v>0</v>
      </c>
      <c r="Q51">
        <v>-65.8</v>
      </c>
      <c r="R51">
        <f>SUM(Q51*$R$21)</f>
        <v>65.8</v>
      </c>
    </row>
    <row r="52" xml:space="preserve">
      <c r="F52">
        <v>214.0198368</v>
      </c>
      <c r="G52">
        <f>SUM(F52+F47)</f>
        <v>376.9218618</v>
      </c>
      <c r="N52" t="str">
        <v>Tarts Anon</v>
      </c>
      <c r="O52" xml:space="preserve">
        <f xml:space="preserve">SUMPRODUCT(--(ISNUMBER(SEARCH(N52, C:C))), B:B)
</f>
        <v>0</v>
      </c>
      <c r="Q52">
        <v>-1.84</v>
      </c>
      <c r="R52">
        <f>SUM(Q52*$R$21)</f>
        <v>1.84</v>
      </c>
    </row>
    <row r="53" xml:space="preserve">
      <c r="N53" t="str">
        <v>Migrant Coffee</v>
      </c>
      <c r="O53" xml:space="preserve">
        <f xml:space="preserve">SUMPRODUCT(--(ISNUMBER(SEARCH(N53, C:C))), B:B)
</f>
        <v>0</v>
      </c>
      <c r="Q53">
        <v>-43.99</v>
      </c>
      <c r="R53">
        <f>SUM(Q53*$R$21)</f>
        <v>43.99</v>
      </c>
    </row>
    <row r="54" xml:space="preserve">
      <c r="F54" t="str">
        <v>OWING TO MACQBILL REMAINING</v>
      </c>
      <c r="I54">
        <v>283.83</v>
      </c>
      <c r="N54" t="str">
        <v>Oh Happy Day</v>
      </c>
      <c r="O54" xml:space="preserve">
        <f xml:space="preserve">SUMPRODUCT(--(ISNUMBER(SEARCH(N54, C:C))), B:B)
</f>
        <v>0</v>
      </c>
      <c r="Q54">
        <v>-79.27</v>
      </c>
      <c r="R54">
        <f>SUM(Q54*$R$21)</f>
        <v>79.27</v>
      </c>
    </row>
    <row r="55" xml:space="preserve">
      <c r="F55">
        <v>325.80405</v>
      </c>
      <c r="G55" s="2" t="str">
        <v>LAST OUTSTANDING PAYMENT IN SEPT</v>
      </c>
      <c r="I55">
        <v>1355.97</v>
      </c>
      <c r="N55" t="str">
        <v>Gor</v>
      </c>
      <c r="O55" xml:space="preserve">
        <f xml:space="preserve">SUMPRODUCT(--(ISNUMBER(SEARCH(N55, C:C))), B:B)
</f>
        <v>0</v>
      </c>
      <c r="Q55">
        <v>-6.04</v>
      </c>
      <c r="R55">
        <f>SUM(Q55*$R$21)</f>
        <v>6.04</v>
      </c>
    </row>
    <row r="56" xml:space="preserve">
      <c r="F56" t="str">
        <v>PAID in SEPT</v>
      </c>
      <c r="I56">
        <f>SUM(I54,I55)</f>
        <v>1639.8</v>
      </c>
      <c r="N56" t="str">
        <v>Sushi Hub</v>
      </c>
      <c r="O56" xml:space="preserve">
        <f xml:space="preserve">SUMPRODUCT(--(ISNUMBER(SEARCH(N56, C:C))), B:B)
</f>
        <v>0</v>
      </c>
      <c r="Q56">
        <v>-99.96</v>
      </c>
      <c r="R56">
        <f>SUM(Q56*$R$21)</f>
        <v>99.96</v>
      </c>
    </row>
    <row r="57" xml:space="preserve">
      <c r="F57">
        <f>SUM(B3,B4,B7,B11,B23,B27,B28,B33,B38,B42,B48,B49,B50,B56,B61,B69,B70,B71,B73,B76,B82,B85,B86,B94)</f>
        <v>-874.8</v>
      </c>
      <c r="G57" t="str">
        <v>eating out</v>
      </c>
      <c r="I57">
        <v>107.2</v>
      </c>
      <c r="N57" t="str">
        <v>Axil</v>
      </c>
      <c r="O57" xml:space="preserve">
        <f xml:space="preserve">SUMPRODUCT(--(ISNUMBER(SEARCH(N57, C:C))), B:B)
</f>
        <v>0</v>
      </c>
      <c r="Q57">
        <v>-79.96</v>
      </c>
      <c r="R57">
        <f>SUM(Q57*$R$21)</f>
        <v>79.96</v>
      </c>
    </row>
    <row r="58" xml:space="preserve">
      <c r="F58">
        <f>SUM(B9,B10,B13,B14,B17,B20,B26,B36,B43,B44,B47,B51,B55,B72,B74,B81,B83,B90,B99)</f>
        <v>-1164.33</v>
      </c>
      <c r="I58">
        <v>454.63</v>
      </c>
      <c r="N58">
        <v>520</v>
      </c>
      <c r="O58" xml:space="preserve">
        <f xml:space="preserve">SUMPRODUCT(--(ISNUMBER(SEARCH(N58, C:C))), B:B)
</f>
        <v>0</v>
      </c>
      <c r="Q58">
        <v>-12.99</v>
      </c>
      <c r="R58">
        <f>SUM(Q58*$R$21)</f>
        <v>12.99</v>
      </c>
    </row>
    <row r="59" xml:space="preserve">
      <c r="I59">
        <f>SUM(I57:I58)</f>
        <v>561.83</v>
      </c>
      <c r="J59">
        <f>SUM(I59,I60)</f>
        <v>1361.83</v>
      </c>
      <c r="N59">
        <v>273</v>
      </c>
      <c r="O59" xml:space="preserve">
        <f xml:space="preserve">SUMPRODUCT(--(ISNUMBER(SEARCH(N59, C:C))), B:B)
</f>
        <v>0</v>
      </c>
      <c r="Q59">
        <v>-12.15</v>
      </c>
      <c r="R59">
        <f>SUM(Q59*$R$21)</f>
        <v>12.15</v>
      </c>
    </row>
    <row r="60" xml:space="preserve">
      <c r="I60">
        <v>800</v>
      </c>
      <c r="N60">
        <v>156</v>
      </c>
      <c r="O60" xml:space="preserve">
        <f xml:space="preserve">SUMPRODUCT(--(ISNUMBER(SEARCH(N60, C:C))), B:B)
</f>
        <v>0</v>
      </c>
      <c r="Q60">
        <v>-28.27</v>
      </c>
      <c r="R60">
        <f>SUM(Q60*$R$21)</f>
        <v>28.27</v>
      </c>
    </row>
    <row r="61">
      <c r="F61" s="2">
        <v>3985.81261566</v>
      </c>
      <c r="I61">
        <v>1000</v>
      </c>
      <c r="N61">
        <f>SUM(N58:N60)</f>
        <v>949</v>
      </c>
      <c r="Q61">
        <v>-69.89</v>
      </c>
      <c r="R61">
        <f>SUM(Q61*$R$21)</f>
        <v>69.89</v>
      </c>
    </row>
    <row r="62">
      <c r="F62">
        <v>3652.5</v>
      </c>
      <c r="G62" s="2">
        <f>SUM(G16, G15, G17, G18)</f>
        <v>-4077.610317</v>
      </c>
      <c r="I62">
        <f>SUM(I56,I59:I61)</f>
        <v>4001.63</v>
      </c>
      <c r="Q62">
        <v>-1220.92</v>
      </c>
      <c r="R62">
        <f>SUM(Q62*$R$21)</f>
        <v>1220.92</v>
      </c>
    </row>
    <row r="63">
      <c r="E63" t="str">
        <v>INVESTIGATE</v>
      </c>
      <c r="F63" s="2">
        <f>SUM(F61-F62)</f>
        <v>333.3126157</v>
      </c>
      <c r="I63" s="4">
        <f>SUM(1361.83+283.83)</f>
        <v>1645.66</v>
      </c>
      <c r="Q63">
        <v>-32.68</v>
      </c>
      <c r="R63">
        <f>SUM(Q63*$R$21)</f>
        <v>32.68</v>
      </c>
    </row>
    <row r="64">
      <c r="J64" s="2" t="str">
        <v>Latest Formula 9pm</v>
      </c>
      <c r="Q64">
        <v>-58.66</v>
      </c>
      <c r="R64">
        <f>SUM(Q64*$R$21)</f>
        <v>58.66</v>
      </c>
    </row>
    <row r="65">
      <c r="F65">
        <v>325.8</v>
      </c>
      <c r="J65" s="2">
        <v>2417.8199999999983</v>
      </c>
      <c r="K65" t="str">
        <v>Tony's</v>
      </c>
      <c r="L65" s="2">
        <v>6861.38</v>
      </c>
      <c r="Q65">
        <v>6861.38</v>
      </c>
      <c r="R65">
        <f>SUM(Q65*$R$21)</f>
        <v>-6861.38</v>
      </c>
    </row>
    <row r="66">
      <c r="I66" s="5" t="str">
        <v>+</v>
      </c>
      <c r="J66" s="2">
        <v>545.44</v>
      </c>
      <c r="K66" t="str">
        <v>Nugget's</v>
      </c>
      <c r="L66" s="2">
        <v>3395.9700000000003</v>
      </c>
      <c r="Q66">
        <v>-32.23</v>
      </c>
      <c r="R66">
        <f>SUM(Q66*$R$21)</f>
        <v>32.23</v>
      </c>
    </row>
    <row r="67">
      <c r="F67" t="str">
        <v>1.5k (500 downsairs) took 200 for vinnies kid</v>
      </c>
      <c r="I67" s="5" t="str">
        <v>+</v>
      </c>
      <c r="J67" s="2">
        <v>502.15</v>
      </c>
      <c r="K67" t="str">
        <v>Macquerie's Over $800 excess</v>
      </c>
      <c r="L67" s="2">
        <v>3465.4099999999985</v>
      </c>
      <c r="Q67">
        <v>-7</v>
      </c>
      <c r="R67">
        <f>SUM(Q67*$R$21)</f>
        <v>7</v>
      </c>
    </row>
    <row r="68">
      <c r="F68" t="str">
        <v>tony paid vinnies' -200 (2.3)</v>
      </c>
      <c r="J68" s="2">
        <v>3465.4099999999985</v>
      </c>
      <c r="K68" t="str">
        <v>Total to Pay</v>
      </c>
      <c r="L68" s="2">
        <v>6861.379999999999</v>
      </c>
      <c r="Q68">
        <v>-13.99</v>
      </c>
      <c r="R68">
        <f>SUM(Q68*$R$21)</f>
        <v>13.99</v>
      </c>
    </row>
    <row r="69">
      <c r="F69" t="str">
        <v>AS OF 11/23/2025</v>
      </c>
      <c r="J69" s="6">
        <v>800</v>
      </c>
      <c r="K69" t="str">
        <v>Macq</v>
      </c>
      <c r="Q69">
        <v>-78.5</v>
      </c>
      <c r="R69">
        <f>SUM(Q69*$R$21)</f>
        <v>78.5</v>
      </c>
    </row>
    <row r="70">
      <c r="F70" t="str">
        <v>macqbill owes tony 2.5</v>
      </c>
      <c r="J70" s="2">
        <v>564.49</v>
      </c>
      <c r="K70" t="str">
        <v>Macbill</v>
      </c>
      <c r="L70" s="2">
        <v>1364.49</v>
      </c>
      <c r="Q70">
        <v>-33.2</v>
      </c>
      <c r="R70">
        <f>SUM(Q70*$R$21)</f>
        <v>33.2</v>
      </c>
    </row>
    <row r="71">
      <c r="F71" t="str">
        <v>macqbill owes tony 2.3</v>
      </c>
      <c r="J71" s="2">
        <v>2031.48</v>
      </c>
      <c r="K71" t="str">
        <v>Harvey Stuff</v>
      </c>
      <c r="Q71">
        <v>-85.29</v>
      </c>
      <c r="R71">
        <f>SUM(Q71*$R$21)</f>
        <v>85.29</v>
      </c>
    </row>
    <row r="72">
      <c r="F72" s="2" t="str">
        <v>Macbill owes tony $1178</v>
      </c>
      <c r="J72" s="2">
        <v>4.649999999998599</v>
      </c>
      <c r="K72" t="str">
        <v>Remaining</v>
      </c>
      <c r="Q72">
        <v>-36.5</v>
      </c>
      <c r="R72">
        <f>SUM(Q72*$R$21)</f>
        <v>36.5</v>
      </c>
    </row>
    <row r="73">
      <c r="F73" s="2" t="str">
        <v>Nugs owe macbill $561</v>
      </c>
      <c r="Q73">
        <v>-100</v>
      </c>
      <c r="R73">
        <f>SUM(Q73*$R$21)</f>
        <v>100</v>
      </c>
    </row>
    <row r="74">
      <c r="Q74">
        <v>-28.55</v>
      </c>
      <c r="R74">
        <f>SUM(Q74*$R$21)</f>
        <v>28.55</v>
      </c>
    </row>
    <row r="75">
      <c r="F75" t="str">
        <v>Nugs owe macbill $311 as of 22/01/2025</v>
      </c>
      <c r="G75">
        <f>SUM(561-250)</f>
        <v>311</v>
      </c>
      <c r="Q75">
        <v>-117.74</v>
      </c>
      <c r="R75">
        <f>SUM(Q75*$R$21)</f>
        <v>117.74</v>
      </c>
    </row>
    <row r="76">
      <c r="F76" t="str">
        <v xml:space="preserve">Jan bill &gt; Nugs to add 155.5 to "Japan" </v>
      </c>
      <c r="G76">
        <v>155.5</v>
      </c>
      <c r="Q76">
        <v>-28</v>
      </c>
      <c r="R76">
        <f>SUM(Q76*$R$21)</f>
        <v>28</v>
      </c>
    </row>
    <row r="77">
      <c r="F77" t="str">
        <v xml:space="preserve">Feb bill &gt; Nugs to add 155.5 to "Japan" </v>
      </c>
      <c r="G77">
        <v>155.5</v>
      </c>
      <c r="Q77">
        <v>-1.91</v>
      </c>
      <c r="R77">
        <f>SUM(Q77*$R$21)</f>
        <v>1.91</v>
      </c>
    </row>
    <row r="78">
      <c r="Q78">
        <v>-1.03</v>
      </c>
      <c r="R78">
        <f>SUM(Q78*$R$21)</f>
        <v>1.03</v>
      </c>
    </row>
    <row r="79">
      <c r="Q79">
        <v>-0.49</v>
      </c>
      <c r="R79">
        <f>SUM(Q79*$R$21)</f>
        <v>0.49</v>
      </c>
    </row>
    <row r="80">
      <c r="Q80">
        <v>-37.5</v>
      </c>
      <c r="R80">
        <f>SUM(Q80*$R$21)</f>
        <v>37.5</v>
      </c>
    </row>
    <row r="81">
      <c r="Q81">
        <v>-16.82</v>
      </c>
      <c r="R81">
        <f>SUM(Q81*$R$21)</f>
        <v>16.82</v>
      </c>
    </row>
    <row r="82">
      <c r="Q82">
        <v>-99.2</v>
      </c>
      <c r="R82">
        <f>SUM(Q82*$R$21)</f>
        <v>99.2</v>
      </c>
    </row>
    <row r="83">
      <c r="Q83">
        <v>-66</v>
      </c>
      <c r="R83">
        <f>SUM(Q83*$R$21)</f>
        <v>66</v>
      </c>
    </row>
    <row r="86">
      <c r="F86">
        <v>1090</v>
      </c>
    </row>
    <row r="89">
      <c r="G89">
        <v>399.96</v>
      </c>
      <c r="H89">
        <v>266.64</v>
      </c>
      <c r="I89">
        <f>SUM(G89-H89)</f>
        <v>133.32</v>
      </c>
      <c r="J89" t="str">
        <v>extra money from the $200</v>
      </c>
    </row>
    <row r="90">
      <c r="G90">
        <v>199.98</v>
      </c>
      <c r="H90">
        <v>133.32</v>
      </c>
      <c r="I90">
        <f>SUM(G90-H90)</f>
        <v>66.66</v>
      </c>
    </row>
    <row r="97">
      <c r="G97" s="2">
        <v>6253.47</v>
      </c>
    </row>
    <row r="98">
      <c r="G98" t="str">
        <v/>
      </c>
      <c r="H98">
        <f>SUM(545*12)</f>
        <v>6540</v>
      </c>
    </row>
    <row r="99">
      <c r="G99" s="3" t="str">
        <v>Havies Distributed</v>
      </c>
      <c r="H99">
        <f>SUM(250*2)*12</f>
        <v>6000</v>
      </c>
    </row>
    <row r="100">
      <c r="G100" s="2">
        <v>371.18499999999983</v>
      </c>
      <c r="H100">
        <f>SUM(H98:H99)</f>
        <v>12540</v>
      </c>
    </row>
    <row r="102">
      <c r="G102" s="3" t="str">
        <v>TOTAL</v>
      </c>
    </row>
    <row r="103">
      <c r="G103" s="2">
        <v>-3577.3350765599994</v>
      </c>
    </row>
    <row r="104">
      <c r="F104">
        <f>SUM(3557-545)</f>
        <v>3012</v>
      </c>
      <c r="G104" s="2">
        <v>-1460.10253828</v>
      </c>
    </row>
    <row r="105">
      <c r="G105" s="2">
        <v>-800</v>
      </c>
    </row>
    <row r="106">
      <c r="G106" s="2">
        <v>-436.03000000000003</v>
      </c>
    </row>
    <row r="107">
      <c r="F107">
        <f>(169*12)</f>
        <v>2028</v>
      </c>
    </row>
    <row r="109">
      <c r="G109" s="2">
        <f>SUM(G103:G106)</f>
        <v>-6273.467615</v>
      </c>
    </row>
    <row r="111">
      <c r="F111" s="2">
        <v>482.53</v>
      </c>
      <c r="G111" t="str">
        <v>Tonys credit</v>
      </c>
    </row>
    <row r="112">
      <c r="H112" s="2">
        <v>157.495</v>
      </c>
      <c r="I112" s="2">
        <f>SUM(H112,H113)</f>
        <v>262.4906167</v>
      </c>
    </row>
    <row r="113">
      <c r="F113" s="2">
        <v>157.495</v>
      </c>
      <c r="G113" t="str">
        <v>tony/nugs</v>
      </c>
      <c r="H113" s="2">
        <v>104.99561670000001</v>
      </c>
      <c r="I113" t="str">
        <v>tonys pay</v>
      </c>
      <c r="J113">
        <v>-314.99</v>
      </c>
    </row>
    <row r="114">
      <c r="F114" s="2">
        <v>157.495</v>
      </c>
      <c r="G114" t="str">
        <v>jon/nina</v>
      </c>
      <c r="H114" s="2">
        <v>52.49780835000001</v>
      </c>
      <c r="I114" t="str">
        <v>Nugs</v>
      </c>
    </row>
    <row r="116">
      <c r="F116" s="2">
        <f>SUM(F111-H113-F114)</f>
        <v>220.0393833</v>
      </c>
    </row>
    <row r="122">
      <c r="F122">
        <v>-314.99</v>
      </c>
    </row>
    <row r="124">
      <c r="G124" s="2">
        <v>6253.47</v>
      </c>
    </row>
    <row r="125">
      <c r="G125" s="2">
        <f>SUM(G124-399)</f>
        <v>5854.47</v>
      </c>
    </row>
    <row r="132">
      <c r="F132">
        <v>25.119999999999997</v>
      </c>
    </row>
    <row r="133">
      <c r="F133">
        <v>40.4</v>
      </c>
    </row>
  </sheetData>
  <mergeCells count="7">
    <mergeCell ref="F1:G1"/>
    <mergeCell ref="J11:K11"/>
    <mergeCell ref="J20:L20"/>
    <mergeCell ref="N20:P20"/>
    <mergeCell ref="A47:B47"/>
    <mergeCell ref="F56:G56"/>
    <mergeCell ref="J64:K64"/>
  </mergeCells>
  <ignoredErrors>
    <ignoredError numberStoredAsText="1" sqref="A1:R15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R154"/>
  <sheetViews>
    <sheetView workbookViewId="0" rightToLeft="0"/>
  </sheetViews>
  <cols>
    <col min="3" max="3" customWidth="1" width="70"/>
  </cols>
  <sheetData>
    <row r="1">
      <c r="A1" s="1">
        <v>46115.458333333336</v>
      </c>
      <c r="B1">
        <v>-25.58</v>
      </c>
      <c r="C1" t="str">
        <v>ALDI STORES WEST FOOTSCRA AUS</v>
      </c>
      <c r="D1" t="str">
        <v>t</v>
      </c>
      <c r="F1" t="str">
        <v>AT A GLANCE</v>
      </c>
      <c r="J1" t="str">
        <v>Split Pay (extra chipins)</v>
      </c>
      <c r="M1" t="str">
        <v>Halvies from our personal</v>
      </c>
      <c r="N1" t="str">
        <v>Tonys Rebates</v>
      </c>
      <c r="O1" t="str">
        <v>Nugs Rebate</v>
      </c>
      <c r="Q1" t="str">
        <v>Extra Costs</v>
      </c>
    </row>
    <row r="2">
      <c r="A2" s="1">
        <v>46116.458333333336</v>
      </c>
      <c r="B2">
        <v>-9.9</v>
      </c>
      <c r="C2" t="str">
        <v>KC CHA PTY LTD. CARLTON</v>
      </c>
      <c r="D2" t="str">
        <v>n</v>
      </c>
      <c r="F2" s="2">
        <f>SUMIF(D:D, "t", B:B)+Q3+Q4+N3+N2</f>
        <v>-1517.14</v>
      </c>
      <c r="G2" t="str">
        <v>Tony's Owing</v>
      </c>
      <c r="H2" s="2">
        <f>SUM(G17,G18)</f>
        <v>-1279.69</v>
      </c>
      <c r="J2" t="str">
        <v>Tony</v>
      </c>
      <c r="K2" t="str">
        <v>Nugs</v>
      </c>
      <c r="M2" s="2" t="str">
        <f>V2</f>
        <v/>
      </c>
      <c r="N2" s="2">
        <f>SUMIF(D:D, "cashback", B:B)/2</f>
        <v>0</v>
      </c>
      <c r="O2" s="2">
        <f>SUMIF(D:D, "cashback", B:B)/2</f>
        <v>0</v>
      </c>
      <c r="Q2" t="str">
        <v>Tony</v>
      </c>
      <c r="R2" t="str">
        <v>Nugs</v>
      </c>
    </row>
    <row r="3">
      <c r="A3" s="1">
        <v>46117.416666666664</v>
      </c>
      <c r="B3">
        <v>-7.9</v>
      </c>
      <c r="C3" t="str">
        <v>Krispy Kreme Highpoint Maribyrnong</v>
      </c>
      <c r="D3" t="str">
        <v>macq</v>
      </c>
      <c r="F3" s="2">
        <f>SUMIF(D:D, "n", B:B)+R3+R4+O3+O2</f>
        <v>-1597.51</v>
      </c>
      <c r="G3" t="str">
        <v>Nug's Owing</v>
      </c>
      <c r="J3" s="2">
        <f>SUM(Q3+N3:N13+Q4)</f>
        <v>0</v>
      </c>
      <c r="K3" s="2">
        <f>SUM(R3+O3:O13+R4)</f>
        <v>0</v>
      </c>
      <c r="N3" s="2">
        <f>SUMIF(D:D, "tr", B:B)</f>
        <v>0</v>
      </c>
      <c r="O3" s="2">
        <f>SUMIF(D:D, "nr", B:B)</f>
        <v>0</v>
      </c>
      <c r="Q3" s="2">
        <f>SUM(T2:T13,V2*0.666666)</f>
        <v>0</v>
      </c>
      <c r="R3" s="2">
        <f>SUM(U2:U13,V2)*0.333333</f>
        <v>0</v>
      </c>
    </row>
    <row r="4">
      <c r="A4" s="1">
        <v>46115.458333333336</v>
      </c>
      <c r="B4">
        <v>-42.8</v>
      </c>
      <c r="C4" t="str">
        <v>COLES Footscray</v>
      </c>
      <c r="D4" t="str">
        <v/>
      </c>
      <c r="F4" s="2">
        <f>SUMIF(D:D, "macq", B:B)+O4+O3</f>
        <v>-483.27</v>
      </c>
      <c r="G4" t="str">
        <v>Macquerie's Owing</v>
      </c>
      <c r="Q4" s="2">
        <f>R13</f>
        <v>0</v>
      </c>
      <c r="R4" s="2" t="str">
        <f>S13</f>
        <v/>
      </c>
    </row>
    <row r="5">
      <c r="A5" s="1">
        <v>46120.416666666664</v>
      </c>
      <c r="B5">
        <v>-89.5</v>
      </c>
      <c r="C5" t="str">
        <v>COLES Footscray</v>
      </c>
      <c r="D5" t="str">
        <v/>
      </c>
      <c r="F5" s="2">
        <f>SUMIF(D:D, "macqbill", B:B)+R5+O5+O4</f>
        <v>-479.69</v>
      </c>
      <c r="G5" t="str">
        <v>Macquerie's Billing Owing</v>
      </c>
    </row>
    <row r="6">
      <c r="F6" s="2">
        <f>SUMIF(D:D, "t", B:B)+Q3</f>
        <v>-1517.14</v>
      </c>
      <c r="G6" t="str">
        <v>Tony's Owing</v>
      </c>
    </row>
    <row r="7">
      <c r="F7" s="2">
        <f>SUMIF(D:D, "n", B:B)+R3</f>
        <v>-1597.51</v>
      </c>
      <c r="G7" t="str">
        <v>Nug's Owing</v>
      </c>
    </row>
    <row r="8">
      <c r="F8" s="2">
        <f>SUMIF(D:D, "macq", B:B)+S3</f>
        <v>-483.27</v>
      </c>
      <c r="G8" t="str">
        <v>Macquerie's Owing</v>
      </c>
    </row>
    <row r="9">
      <c r="F9" t="str">
        <v>Macq' Balance</v>
      </c>
      <c r="G9" s="2">
        <v>0</v>
      </c>
      <c r="H9" t="str">
        <v>&lt;-- Enter CC total. If green, good. If red, bad.</v>
      </c>
    </row>
    <row r="10">
      <c r="F10" s="2">
        <v>-800</v>
      </c>
      <c r="G10" s="2">
        <f>IF(F12&gt;=0, F4, "")</f>
        <v>-483.27</v>
      </c>
      <c r="H10">
        <v>6786.19</v>
      </c>
      <c r="I10" t="str">
        <v>-</v>
      </c>
    </row>
    <row r="11">
      <c r="F11" t="str">
        <v>Macquerie Excess</v>
      </c>
      <c r="G11" s="3" t="str">
        <v>Havies Distributed</v>
      </c>
      <c r="J11" t="str">
        <v>AT A GLANCE</v>
      </c>
    </row>
    <row r="12">
      <c r="F12" s="2">
        <f>SUM(F10-F4)*-1</f>
        <v>316.73</v>
      </c>
      <c r="G12" s="2">
        <f>IF(F12&gt;=0, 0, F12/2)*-1</f>
        <v>0</v>
      </c>
      <c r="J12" s="2">
        <f>SUM(847.935+244.25)</f>
        <v>1092.185</v>
      </c>
      <c r="K12" t="str">
        <v>Tony's Owing</v>
      </c>
      <c r="Q12" t="str">
        <v>Tony 2:1 Nugs</v>
      </c>
      <c r="R12" t="str">
        <v>Tony</v>
      </c>
    </row>
    <row r="13">
      <c r="J13" s="2">
        <v>858.4549999999999</v>
      </c>
      <c r="K13" t="str">
        <v>Nug's Owing</v>
      </c>
      <c r="Q13">
        <f>SUMIF(D:D, "Tony66", B:B)</f>
        <v>0</v>
      </c>
      <c r="R13" s="3">
        <f>SUM(Q13*0.75)</f>
        <v>0</v>
      </c>
    </row>
    <row r="14">
      <c r="G14" s="3" t="str">
        <v>TOTAL</v>
      </c>
      <c r="H14" s="2">
        <f>SUM(G15:G18)</f>
        <v>-4077.610317</v>
      </c>
      <c r="I14" s="2">
        <f>SUM(G17,G18)</f>
        <v>-1279.69</v>
      </c>
      <c r="J14" s="2">
        <v>800</v>
      </c>
      <c r="K14" t="str">
        <v>Macquerie's Owing</v>
      </c>
    </row>
    <row r="15">
      <c r="F15" t="str">
        <v>Tony:</v>
      </c>
      <c r="G15" s="2">
        <f>SUM(F2,G27)</f>
        <v>-1305.986878</v>
      </c>
      <c r="H15" s="2">
        <f>SUM(F6)</f>
        <v>-1517.14</v>
      </c>
      <c r="J15" s="2">
        <v>467.46</v>
      </c>
      <c r="K15" t="str">
        <v>Macquerie's Billing Owing</v>
      </c>
    </row>
    <row r="16">
      <c r="F16" t="str">
        <v>Nugs:</v>
      </c>
      <c r="G16" s="2">
        <f>SUM(F3,F27)</f>
        <v>-1491.933439</v>
      </c>
      <c r="H16" s="2">
        <f>SUM(F7)</f>
        <v>-1597.51</v>
      </c>
    </row>
    <row r="17">
      <c r="F17" t="str">
        <v>Macq:</v>
      </c>
      <c r="G17" s="2">
        <f>SUM(F4-F12)</f>
        <v>-800</v>
      </c>
      <c r="H17" s="2">
        <f>SUM(F8)</f>
        <v>-483.27</v>
      </c>
    </row>
    <row r="18">
      <c r="F18" t="str">
        <v>Macqbill:</v>
      </c>
      <c r="G18" s="2">
        <f>F5</f>
        <v>-479.69</v>
      </c>
    </row>
    <row r="19">
      <c r="G19" s="2">
        <f>SUM(G15:G18)</f>
        <v>-4077.610317</v>
      </c>
      <c r="H19" t="str">
        <v>&lt;-- Chip ins - G9. If green, good. If red, bad.</v>
      </c>
    </row>
    <row r="20">
      <c r="J20" t="str">
        <v>COMMON TRANSACTIONS</v>
      </c>
    </row>
    <row r="21">
      <c r="J21" t="str">
        <v>Paypal</v>
      </c>
      <c r="R21">
        <v>-1</v>
      </c>
    </row>
    <row r="22">
      <c r="F22" t="str">
        <v>Status</v>
      </c>
      <c r="G22" t="str">
        <v xml:space="preserve">UP TO DATE: </v>
      </c>
      <c r="J22" t="str">
        <v>Paypal *Netflix Aus 4029357733</v>
      </c>
      <c r="Q22">
        <v>-57.28</v>
      </c>
      <c r="R22">
        <f>SUM(Q22*$R$21)</f>
        <v>57.28</v>
      </c>
    </row>
    <row r="23">
      <c r="F23" t="str">
        <f>IF(I23=TRUE,"PAID","NOT PAID")</f>
        <v>PAID</v>
      </c>
      <c r="G23" t="str">
        <v>TONY</v>
      </c>
      <c r="H23" s="2">
        <f>IF(I23=TRUE,"",G15)-E46</f>
        <v>0</v>
      </c>
      <c r="I23" t="b">
        <v>1</v>
      </c>
      <c r="J23" t="str">
        <v>Ampol</v>
      </c>
      <c r="Q23">
        <v>-39.14</v>
      </c>
      <c r="R23">
        <f>SUM(Q23*$R$21)</f>
        <v>39.14</v>
      </c>
    </row>
    <row r="24">
      <c r="F24" t="str">
        <f>IF(I24=TRUE,"PAID","NOT PAID")</f>
        <v>PAID</v>
      </c>
      <c r="G24" t="str">
        <v>NUGS</v>
      </c>
      <c r="H24" s="2" t="str">
        <f>IF(I24=TRUE,"",G16)</f>
        <v/>
      </c>
      <c r="I24" t="b">
        <v>1</v>
      </c>
      <c r="J24" t="str">
        <v>Easypark</v>
      </c>
      <c r="Q24">
        <v>-80.96</v>
      </c>
      <c r="R24">
        <f>SUM(Q24*$R$21)</f>
        <v>80.96</v>
      </c>
    </row>
    <row r="25">
      <c r="F25" t="str">
        <f>IF(I25=TRUE,"PAID","NOT PAID")</f>
        <v>PAID</v>
      </c>
      <c r="G25" t="str">
        <v>MACQ</v>
      </c>
      <c r="H25" s="2" t="str">
        <f>IF(I25=TRUE,"",G17)</f>
        <v/>
      </c>
      <c r="I25" t="b">
        <v>1</v>
      </c>
      <c r="J25" t="str">
        <v>Ampol</v>
      </c>
      <c r="Q25">
        <v>-17.7</v>
      </c>
      <c r="R25">
        <f>SUM(Q25*$R$21)</f>
        <v>17.7</v>
      </c>
    </row>
    <row r="26">
      <c r="F26" t="str">
        <f>IF(I26=TRUE,"PAID","NOT PAID")</f>
        <v>PAID</v>
      </c>
      <c r="G26" t="str">
        <v>MACQBILL</v>
      </c>
      <c r="H26" s="2" t="str">
        <f>IF(I26=TRUE,"",G18)</f>
        <v/>
      </c>
      <c r="I26" t="b">
        <v>1</v>
      </c>
      <c r="J26" t="str">
        <v>Petbarn</v>
      </c>
      <c r="Q26">
        <v>-4.6</v>
      </c>
      <c r="R26">
        <f>SUM(Q26*$R$21)</f>
        <v>4.6</v>
      </c>
    </row>
    <row r="27">
      <c r="F27" s="2">
        <f>SUM(F12*0.333333)</f>
        <v>105.5765611</v>
      </c>
      <c r="G27" s="2">
        <f>SUM(F12*0.666666)</f>
        <v>211.1531222</v>
      </c>
      <c r="J27" t="str">
        <v>Gww</v>
      </c>
      <c r="Q27">
        <v>-89.6</v>
      </c>
      <c r="R27">
        <f>SUM(Q27*$R$21)</f>
        <v>89.6</v>
      </c>
    </row>
    <row r="28">
      <c r="G28" t="str">
        <v>At a Glance</v>
      </c>
      <c r="J28" t="str">
        <v>Amazon</v>
      </c>
      <c r="Q28">
        <v>-126</v>
      </c>
      <c r="R28">
        <f>SUM(Q28*$R$21)</f>
        <v>126</v>
      </c>
    </row>
    <row r="29">
      <c r="F29" t="str">
        <v>Grocery</v>
      </c>
      <c r="G29" s="2">
        <f>I44</f>
        <v>3818.31</v>
      </c>
      <c r="J29" t="str">
        <v>AGL</v>
      </c>
      <c r="Q29">
        <v>-109.77</v>
      </c>
      <c r="R29">
        <f>SUM(Q29*$R$21)</f>
        <v>109.77</v>
      </c>
    </row>
    <row r="30">
      <c r="F30" t="str">
        <v>Fast Food</v>
      </c>
      <c r="G30" s="2">
        <f>O37</f>
        <v>-41.9</v>
      </c>
      <c r="H30">
        <f>SUM(314.99)</f>
        <v>314.99</v>
      </c>
      <c r="J30" t="str">
        <v>Uniqlo</v>
      </c>
      <c r="Q30">
        <v>-30</v>
      </c>
      <c r="R30">
        <f>SUM(Q30*$R$21)</f>
        <v>30</v>
      </c>
    </row>
    <row r="31">
      <c r="F31" t="str">
        <v>Resturant/Cafe</v>
      </c>
      <c r="G31" s="2">
        <f>O42</f>
        <v>0</v>
      </c>
      <c r="H31">
        <f>SUM(H30/2)</f>
        <v>157.495</v>
      </c>
      <c r="Q31">
        <v>-37.5</v>
      </c>
      <c r="R31">
        <f>SUM(Q31*$R$21)</f>
        <v>37.5</v>
      </c>
    </row>
    <row r="32">
      <c r="G32" s="2">
        <f>SUM(G17:G18)</f>
        <v>-1279.69</v>
      </c>
      <c r="M32">
        <v>6333.78</v>
      </c>
      <c r="Q32">
        <v>-21.8</v>
      </c>
      <c r="R32">
        <f>SUM(Q32*$R$21)</f>
        <v>21.8</v>
      </c>
    </row>
    <row r="33">
      <c r="G33" s="2">
        <f>SUM(G15:G18)</f>
        <v>-4077.610317</v>
      </c>
      <c r="M33">
        <v>2969</v>
      </c>
      <c r="Q33">
        <v>-36.53</v>
      </c>
      <c r="R33">
        <f>SUM(Q33*$R$21)</f>
        <v>36.53</v>
      </c>
    </row>
    <row r="34">
      <c r="M34">
        <f>SUM(M32-M33)</f>
        <v>3364.78</v>
      </c>
      <c r="Q34">
        <v>-4.92</v>
      </c>
      <c r="R34">
        <f>SUM(Q34*$R$21)</f>
        <v>4.92</v>
      </c>
    </row>
    <row r="35">
      <c r="F35" t="str">
        <v>Tony:</v>
      </c>
      <c r="G35" s="2">
        <f>SUM(G15,G12)</f>
        <v>-1305.986878</v>
      </c>
      <c r="M35">
        <v>4489.87</v>
      </c>
      <c r="Q35">
        <v>-101.42</v>
      </c>
      <c r="R35">
        <f>SUM(Q35*$R$21)</f>
        <v>101.42</v>
      </c>
    </row>
    <row r="36">
      <c r="F36" t="str">
        <v>Nugs:</v>
      </c>
      <c r="G36" s="2">
        <f>SUM(G16-G12)</f>
        <v>-1491.933439</v>
      </c>
      <c r="M36">
        <f>SUM(M35-M34)</f>
        <v>1125.09</v>
      </c>
      <c r="Q36">
        <v>-13.32</v>
      </c>
      <c r="R36">
        <f>SUM(Q36*$R$21)</f>
        <v>13.32</v>
      </c>
    </row>
    <row r="37">
      <c r="N37">
        <v>2400</v>
      </c>
      <c r="O37">
        <f>SUM(O38:O40)</f>
        <v>-41.9</v>
      </c>
      <c r="Q37">
        <v>-4.5</v>
      </c>
      <c r="R37">
        <f>SUM(Q37*$R$21)</f>
        <v>4.5</v>
      </c>
    </row>
    <row r="38" xml:space="preserve">
      <c r="E38" t="str">
        <v>350 uniql;o</v>
      </c>
      <c r="M38">
        <f>SUM(M34-M36)</f>
        <v>2239.69</v>
      </c>
      <c r="N38" t="str">
        <v>sad458548412322</v>
      </c>
      <c r="O38" xml:space="preserve">
        <f xml:space="preserve">SUMPRODUCT(--(ISNUMBER(SEARCH(N38, C:C))), B:B)
</f>
        <v>0</v>
      </c>
      <c r="Q38">
        <v>-8.9</v>
      </c>
      <c r="R38">
        <f>SUM(Q38*$R$21)</f>
        <v>8.9</v>
      </c>
    </row>
    <row r="39" xml:space="preserve">
      <c r="E39" t="str">
        <v>25 w retail</v>
      </c>
      <c r="I39" s="2">
        <f>SUM(G15:G18)</f>
        <v>-4077.610317</v>
      </c>
      <c r="K39">
        <v>3533.71</v>
      </c>
      <c r="M39">
        <f>SUM(M33-M38)</f>
        <v>729.31</v>
      </c>
      <c r="N39" t="str">
        <v>Mcdonalds</v>
      </c>
      <c r="O39" xml:space="preserve">
        <f xml:space="preserve">SUMPRODUCT(--(ISNUMBER(SEARCH(N39, C:C))), B:B)
</f>
        <v>-41.9</v>
      </c>
      <c r="Q39">
        <v>-51.33</v>
      </c>
      <c r="R39">
        <f>SUM(Q39*$R$21)</f>
        <v>51.33</v>
      </c>
    </row>
    <row r="40" xml:space="preserve">
      <c r="E40" t="str">
        <v>100 spotlight</v>
      </c>
      <c r="I40" s="2">
        <f>SUM(3818.31+I39)</f>
        <v>-259.3003167</v>
      </c>
      <c r="K40">
        <v>475.13</v>
      </c>
      <c r="N40" t="str">
        <v>Pizza Hut</v>
      </c>
      <c r="O40" xml:space="preserve">
        <f xml:space="preserve">SUMPRODUCT(--(ISNUMBER(SEARCH(N40, C:C))), B:B)
</f>
        <v>0</v>
      </c>
      <c r="Q40">
        <v>-28.65</v>
      </c>
      <c r="R40">
        <f>SUM(Q40*$R$21)</f>
        <v>28.65</v>
      </c>
    </row>
    <row r="41">
      <c r="F41" s="2">
        <f>SUM(G17,G18)</f>
        <v>-1279.69</v>
      </c>
      <c r="I41">
        <f>SUM(2230.04+7.19)</f>
        <v>2237.23</v>
      </c>
      <c r="K41">
        <f>SUM(K39-K40)</f>
        <v>3058.58</v>
      </c>
      <c r="Q41">
        <v>-59.99</v>
      </c>
      <c r="R41">
        <f>SUM(Q41*$R$21)</f>
        <v>59.99</v>
      </c>
    </row>
    <row r="42">
      <c r="I42">
        <v>1104.66</v>
      </c>
      <c r="N42" t="str">
        <v>Resturant/Cafe</v>
      </c>
      <c r="O42">
        <f>SUM(O43:O60)</f>
        <v>0</v>
      </c>
      <c r="Q42">
        <v>-66.16</v>
      </c>
      <c r="R42">
        <f>SUM(Q42*$R$21)</f>
        <v>66.16</v>
      </c>
    </row>
    <row r="43" xml:space="preserve">
      <c r="I43">
        <v>476.42</v>
      </c>
      <c r="M43">
        <v>2969</v>
      </c>
      <c r="N43" t="str">
        <v>Ootoro</v>
      </c>
      <c r="O43" xml:space="preserve">
        <f xml:space="preserve">SUMPRODUCT(--(ISNUMBER(SEARCH(N43, C:C))), B:B)
</f>
        <v>0</v>
      </c>
      <c r="Q43">
        <v>-244.6</v>
      </c>
      <c r="R43">
        <f>SUM(Q43*$R$21)</f>
        <v>244.6</v>
      </c>
    </row>
    <row r="44" xml:space="preserve">
      <c r="I44">
        <f>SUM(I41:I43)</f>
        <v>3818.31</v>
      </c>
      <c r="M44">
        <v>2969</v>
      </c>
      <c r="N44" t="str">
        <v>Brunetti</v>
      </c>
      <c r="O44" xml:space="preserve">
        <f xml:space="preserve">SUMPRODUCT(--(ISNUMBER(SEARCH(N44, C:C))), B:B)
</f>
        <v>0</v>
      </c>
      <c r="Q44">
        <v>-12.99</v>
      </c>
      <c r="R44">
        <f>SUM(Q44*$R$21)</f>
        <v>12.99</v>
      </c>
    </row>
    <row r="45" xml:space="preserve">
      <c r="E45">
        <f>SUM(B12,B18,B24,B28,B31,B34,B43,B50,B57,B69,B75,B81,B88,B102,B104)</f>
        <v>-604.17</v>
      </c>
      <c r="F45">
        <f>SUM(442+1445+87.57)</f>
        <v>1974.57</v>
      </c>
      <c r="G45" s="2" t="str">
        <v>TOTAL TONY NUG OWING TO MACQBILL</v>
      </c>
      <c r="H45" t="str">
        <v>AS OF JUNE</v>
      </c>
      <c r="I45" s="2">
        <f>SUM(G15:G18)</f>
        <v>-4077.610317</v>
      </c>
      <c r="M45">
        <v>1125.0900000000001</v>
      </c>
      <c r="N45">
        <f>SUM(M44-M45)</f>
        <v>1843.91</v>
      </c>
      <c r="O45" xml:space="preserve">
        <f xml:space="preserve">SUMPRODUCT(--(ISNUMBER(SEARCH(N45, C:C))), B:B)
</f>
        <v>0</v>
      </c>
      <c r="Q45">
        <v>-26.7</v>
      </c>
      <c r="R45">
        <f>SUM(Q45*$R$21)</f>
        <v>26.7</v>
      </c>
    </row>
    <row r="46" xml:space="preserve">
      <c r="F46">
        <f>SUM(F45/4)</f>
        <v>493.6425</v>
      </c>
      <c r="G46" s="2" t="str">
        <v>PER MONTH</v>
      </c>
      <c r="H46" t="str">
        <v>EXP SEPT CYCLE</v>
      </c>
      <c r="I46">
        <f>SUM(1361.83+1355.97+1283.83)</f>
        <v>4001.63</v>
      </c>
      <c r="M46">
        <v>1843.9099999999999</v>
      </c>
      <c r="N46" t="str">
        <v>Chicken Cafe</v>
      </c>
      <c r="O46" xml:space="preserve">
        <f xml:space="preserve">SUMPRODUCT(--(ISNUMBER(SEARCH(N46, C:C))), B:B)
</f>
        <v>0</v>
      </c>
      <c r="Q46">
        <v>-42.96</v>
      </c>
      <c r="R46">
        <f>SUM(Q46*$R$21)</f>
        <v>42.96</v>
      </c>
    </row>
    <row r="47" xml:space="preserve">
      <c r="F47">
        <f xml:space="preserve">SUM(F46*0.33) </f>
        <v>162.902025</v>
      </c>
      <c r="G47" t="str">
        <v>NUGS</v>
      </c>
      <c r="N47" t="str">
        <v>First Taste</v>
      </c>
      <c r="O47" xml:space="preserve">
        <f xml:space="preserve">SUMPRODUCT(--(ISNUMBER(SEARCH(N47, C:C))), B:B)
</f>
        <v>0</v>
      </c>
      <c r="Q47">
        <v>-117.97</v>
      </c>
      <c r="R47">
        <f>SUM(Q47*$R$21)</f>
        <v>117.97</v>
      </c>
    </row>
    <row r="48" xml:space="preserve">
      <c r="F48">
        <f>SUM(F46*0.66)</f>
        <v>325.80405</v>
      </c>
      <c r="G48" t="str">
        <v>TONY</v>
      </c>
      <c r="N48" t="str">
        <v>Tori's</v>
      </c>
      <c r="O48" xml:space="preserve">
        <f xml:space="preserve">SUMPRODUCT(--(ISNUMBER(SEARCH(N48, C:C))), B:B)
</f>
        <v>0</v>
      </c>
      <c r="Q48">
        <v>-34.14</v>
      </c>
      <c r="R48">
        <f>SUM(Q48*$R$21)</f>
        <v>34.14</v>
      </c>
    </row>
    <row r="49" xml:space="preserve">
      <c r="F49" t="str">
        <v>NEXT CREDIT CARD</v>
      </c>
      <c r="G49">
        <f>SUM(F45-F46)</f>
        <v>1480.9275</v>
      </c>
      <c r="I49">
        <f>SUM(1361.83+283.83)</f>
        <v>1645.66</v>
      </c>
      <c r="J49" t="str">
        <v>tony</v>
      </c>
      <c r="N49" t="str">
        <v>Secret Lagoon</v>
      </c>
      <c r="O49" xml:space="preserve">
        <f xml:space="preserve">SUMPRODUCT(--(ISNUMBER(SEARCH(N49, C:C))), B:B)
</f>
        <v>0</v>
      </c>
      <c r="Q49">
        <v>-17.15</v>
      </c>
      <c r="R49">
        <f>SUM(Q49*$R$21)</f>
        <v>17.15</v>
      </c>
    </row>
    <row r="50" xml:space="preserve">
      <c r="I50">
        <f>SUM(561.83+800)</f>
        <v>1361.83</v>
      </c>
      <c r="N50" t="str">
        <v>Universal</v>
      </c>
      <c r="O50" xml:space="preserve">
        <f xml:space="preserve">SUMPRODUCT(--(ISNUMBER(SEARCH(N50, C:C))), B:B)
</f>
        <v>0</v>
      </c>
      <c r="Q50">
        <v>-53.98</v>
      </c>
      <c r="R50">
        <f>SUM(Q50*$R$21)</f>
        <v>53.98</v>
      </c>
    </row>
    <row r="51" xml:space="preserve">
      <c r="F51">
        <v>2432.6396736</v>
      </c>
      <c r="G51">
        <f>SUM(F51+F48)</f>
        <v>2758.443724</v>
      </c>
      <c r="I51">
        <f>SUM(4001.63)-(I49+I50)</f>
        <v>994.14</v>
      </c>
      <c r="N51" t="str">
        <v>Pie Thief</v>
      </c>
      <c r="O51" xml:space="preserve">
        <f xml:space="preserve">SUMPRODUCT(--(ISNUMBER(SEARCH(N51, C:C))), B:B)
</f>
        <v>0</v>
      </c>
      <c r="Q51">
        <v>-65.8</v>
      </c>
      <c r="R51">
        <f>SUM(Q51*$R$21)</f>
        <v>65.8</v>
      </c>
    </row>
    <row r="52" xml:space="preserve">
      <c r="F52">
        <v>214.0198368</v>
      </c>
      <c r="G52">
        <f>SUM(F52+F47)</f>
        <v>376.9218618</v>
      </c>
      <c r="N52" t="str">
        <v>Tarts Anon</v>
      </c>
      <c r="O52" xml:space="preserve">
        <f xml:space="preserve">SUMPRODUCT(--(ISNUMBER(SEARCH(N52, C:C))), B:B)
</f>
        <v>0</v>
      </c>
      <c r="Q52">
        <v>-1.84</v>
      </c>
      <c r="R52">
        <f>SUM(Q52*$R$21)</f>
        <v>1.84</v>
      </c>
    </row>
    <row r="53" xml:space="preserve">
      <c r="N53" t="str">
        <v>Migrant Coffee</v>
      </c>
      <c r="O53" xml:space="preserve">
        <f xml:space="preserve">SUMPRODUCT(--(ISNUMBER(SEARCH(N53, C:C))), B:B)
</f>
        <v>0</v>
      </c>
      <c r="Q53">
        <v>-43.99</v>
      </c>
      <c r="R53">
        <f>SUM(Q53*$R$21)</f>
        <v>43.99</v>
      </c>
    </row>
    <row r="54" xml:space="preserve">
      <c r="F54" t="str">
        <v>OWING TO MACQBILL REMAINING</v>
      </c>
      <c r="I54">
        <v>283.83</v>
      </c>
      <c r="N54" t="str">
        <v>Oh Happy Day</v>
      </c>
      <c r="O54" xml:space="preserve">
        <f xml:space="preserve">SUMPRODUCT(--(ISNUMBER(SEARCH(N54, C:C))), B:B)
</f>
        <v>0</v>
      </c>
      <c r="Q54">
        <v>-79.27</v>
      </c>
      <c r="R54">
        <f>SUM(Q54*$R$21)</f>
        <v>79.27</v>
      </c>
    </row>
    <row r="55" xml:space="preserve">
      <c r="F55">
        <v>325.80405</v>
      </c>
      <c r="G55" s="2" t="str">
        <v>LAST OUTSTANDING PAYMENT IN SEPT</v>
      </c>
      <c r="I55">
        <v>1355.97</v>
      </c>
      <c r="N55" t="str">
        <v>Gor</v>
      </c>
      <c r="O55" xml:space="preserve">
        <f xml:space="preserve">SUMPRODUCT(--(ISNUMBER(SEARCH(N55, C:C))), B:B)
</f>
        <v>0</v>
      </c>
      <c r="Q55">
        <v>-6.04</v>
      </c>
      <c r="R55">
        <f>SUM(Q55*$R$21)</f>
        <v>6.04</v>
      </c>
    </row>
    <row r="56" xml:space="preserve">
      <c r="F56" t="str">
        <v>PAID in SEPT</v>
      </c>
      <c r="I56">
        <f>SUM(I54,I55)</f>
        <v>1639.8</v>
      </c>
      <c r="N56" t="str">
        <v>Sushi Hub</v>
      </c>
      <c r="O56" xml:space="preserve">
        <f xml:space="preserve">SUMPRODUCT(--(ISNUMBER(SEARCH(N56, C:C))), B:B)
</f>
        <v>0</v>
      </c>
      <c r="Q56">
        <v>-99.96</v>
      </c>
      <c r="R56">
        <f>SUM(Q56*$R$21)</f>
        <v>99.96</v>
      </c>
    </row>
    <row r="57" xml:space="preserve">
      <c r="F57">
        <f>SUM(B3,B4,B7,B11,B23,B27,B28,B33,B38,B42,B48,B49,B50,B56,B61,B69,B70,B71,B73,B76,B82,B85,B86,B94)</f>
        <v>-874.8</v>
      </c>
      <c r="G57" t="str">
        <v>eating out</v>
      </c>
      <c r="I57">
        <v>107.2</v>
      </c>
      <c r="N57" t="str">
        <v>Axil</v>
      </c>
      <c r="O57" xml:space="preserve">
        <f xml:space="preserve">SUMPRODUCT(--(ISNUMBER(SEARCH(N57, C:C))), B:B)
</f>
        <v>0</v>
      </c>
      <c r="Q57">
        <v>-79.96</v>
      </c>
      <c r="R57">
        <f>SUM(Q57*$R$21)</f>
        <v>79.96</v>
      </c>
    </row>
    <row r="58" xml:space="preserve">
      <c r="F58">
        <f>SUM(B9,B10,B13,B14,B17,B20,B26,B36,B43,B44,B47,B51,B55,B72,B74,B81,B83,B90,B99)</f>
        <v>-1164.33</v>
      </c>
      <c r="I58">
        <v>454.63</v>
      </c>
      <c r="N58">
        <v>520</v>
      </c>
      <c r="O58" xml:space="preserve">
        <f xml:space="preserve">SUMPRODUCT(--(ISNUMBER(SEARCH(N58, C:C))), B:B)
</f>
        <v>0</v>
      </c>
      <c r="Q58">
        <v>-12.99</v>
      </c>
      <c r="R58">
        <f>SUM(Q58*$R$21)</f>
        <v>12.99</v>
      </c>
    </row>
    <row r="59" xml:space="preserve">
      <c r="I59">
        <f>SUM(I57:I58)</f>
        <v>561.83</v>
      </c>
      <c r="J59">
        <f>SUM(I59,I60)</f>
        <v>1361.83</v>
      </c>
      <c r="N59">
        <v>273</v>
      </c>
      <c r="O59" xml:space="preserve">
        <f xml:space="preserve">SUMPRODUCT(--(ISNUMBER(SEARCH(N59, C:C))), B:B)
</f>
        <v>0</v>
      </c>
      <c r="Q59">
        <v>-12.15</v>
      </c>
      <c r="R59">
        <f>SUM(Q59*$R$21)</f>
        <v>12.15</v>
      </c>
    </row>
    <row r="60" xml:space="preserve">
      <c r="I60">
        <v>800</v>
      </c>
      <c r="N60">
        <v>156</v>
      </c>
      <c r="O60" xml:space="preserve">
        <f xml:space="preserve">SUMPRODUCT(--(ISNUMBER(SEARCH(N60, C:C))), B:B)
</f>
        <v>0</v>
      </c>
      <c r="Q60">
        <v>-28.27</v>
      </c>
      <c r="R60">
        <f>SUM(Q60*$R$21)</f>
        <v>28.27</v>
      </c>
    </row>
    <row r="61">
      <c r="F61" s="2">
        <v>3985.81261566</v>
      </c>
      <c r="I61">
        <v>1000</v>
      </c>
      <c r="N61">
        <f>SUM(N58:N60)</f>
        <v>949</v>
      </c>
      <c r="Q61">
        <v>-69.89</v>
      </c>
      <c r="R61">
        <f>SUM(Q61*$R$21)</f>
        <v>69.89</v>
      </c>
    </row>
    <row r="62">
      <c r="F62">
        <v>3652.5</v>
      </c>
      <c r="G62" s="2">
        <f>SUM(G16, G15, G17, G18)</f>
        <v>-4077.610317</v>
      </c>
      <c r="I62">
        <f>SUM(I56,I59:I61)</f>
        <v>4001.63</v>
      </c>
      <c r="Q62">
        <v>-1220.92</v>
      </c>
      <c r="R62">
        <f>SUM(Q62*$R$21)</f>
        <v>1220.92</v>
      </c>
    </row>
    <row r="63">
      <c r="E63" t="str">
        <v>INVESTIGATE</v>
      </c>
      <c r="F63" s="2">
        <f>SUM(F61-F62)</f>
        <v>333.3126157</v>
      </c>
      <c r="I63" s="4">
        <f>SUM(1361.83+283.83)</f>
        <v>1645.66</v>
      </c>
      <c r="Q63">
        <v>-32.68</v>
      </c>
      <c r="R63">
        <f>SUM(Q63*$R$21)</f>
        <v>32.68</v>
      </c>
    </row>
    <row r="64">
      <c r="J64" s="2" t="str">
        <v>Latest Formula 9pm</v>
      </c>
      <c r="Q64">
        <v>-58.66</v>
      </c>
      <c r="R64">
        <f>SUM(Q64*$R$21)</f>
        <v>58.66</v>
      </c>
    </row>
    <row r="65">
      <c r="F65">
        <v>325.8</v>
      </c>
      <c r="J65" s="2">
        <v>2417.8199999999983</v>
      </c>
      <c r="K65" t="str">
        <v>Tony's</v>
      </c>
      <c r="L65" s="2">
        <v>6861.38</v>
      </c>
      <c r="Q65">
        <v>6861.38</v>
      </c>
      <c r="R65">
        <f>SUM(Q65*$R$21)</f>
        <v>-6861.38</v>
      </c>
    </row>
    <row r="66">
      <c r="I66" s="5" t="str">
        <v>+</v>
      </c>
      <c r="J66" s="2">
        <v>545.44</v>
      </c>
      <c r="K66" t="str">
        <v>Nugget's</v>
      </c>
      <c r="L66" s="2">
        <v>3395.9700000000003</v>
      </c>
      <c r="Q66">
        <v>-32.23</v>
      </c>
      <c r="R66">
        <f>SUM(Q66*$R$21)</f>
        <v>32.23</v>
      </c>
    </row>
    <row r="67">
      <c r="F67" t="str">
        <v>1.5k (500 downsairs) took 200 for vinnies kid</v>
      </c>
      <c r="I67" s="5" t="str">
        <v>+</v>
      </c>
      <c r="J67" s="2">
        <v>502.15</v>
      </c>
      <c r="K67" t="str">
        <v>Macquerie's Over $800 excess</v>
      </c>
      <c r="L67" s="2">
        <v>3465.4099999999985</v>
      </c>
      <c r="Q67">
        <v>-7</v>
      </c>
      <c r="R67">
        <f>SUM(Q67*$R$21)</f>
        <v>7</v>
      </c>
    </row>
    <row r="68">
      <c r="F68" t="str">
        <v>tony paid vinnies' -200 (2.3)</v>
      </c>
      <c r="J68" s="2">
        <v>3465.4099999999985</v>
      </c>
      <c r="K68" t="str">
        <v>Total to Pay</v>
      </c>
      <c r="L68" s="2">
        <v>6861.379999999999</v>
      </c>
      <c r="Q68">
        <v>-13.99</v>
      </c>
      <c r="R68">
        <f>SUM(Q68*$R$21)</f>
        <v>13.99</v>
      </c>
    </row>
    <row r="69">
      <c r="F69" t="str">
        <v>AS OF 11/23/2025</v>
      </c>
      <c r="J69" s="6">
        <v>800</v>
      </c>
      <c r="K69" t="str">
        <v>Macq</v>
      </c>
      <c r="Q69">
        <v>-78.5</v>
      </c>
      <c r="R69">
        <f>SUM(Q69*$R$21)</f>
        <v>78.5</v>
      </c>
    </row>
    <row r="70">
      <c r="F70" t="str">
        <v>macqbill owes tony 2.5</v>
      </c>
      <c r="J70" s="2">
        <v>564.49</v>
      </c>
      <c r="K70" t="str">
        <v>Macbill</v>
      </c>
      <c r="L70" s="2">
        <v>1364.49</v>
      </c>
      <c r="Q70">
        <v>-33.2</v>
      </c>
      <c r="R70">
        <f>SUM(Q70*$R$21)</f>
        <v>33.2</v>
      </c>
    </row>
    <row r="71">
      <c r="F71" t="str">
        <v>macqbill owes tony 2.3</v>
      </c>
      <c r="J71" s="2">
        <v>2031.48</v>
      </c>
      <c r="K71" t="str">
        <v>Harvey Stuff</v>
      </c>
      <c r="Q71">
        <v>-85.29</v>
      </c>
      <c r="R71">
        <f>SUM(Q71*$R$21)</f>
        <v>85.29</v>
      </c>
    </row>
    <row r="72">
      <c r="F72" s="2" t="str">
        <v>Macbill owes tony $1178</v>
      </c>
      <c r="J72" s="2">
        <v>4.649999999998599</v>
      </c>
      <c r="K72" t="str">
        <v>Remaining</v>
      </c>
      <c r="Q72">
        <v>-36.5</v>
      </c>
      <c r="R72">
        <f>SUM(Q72*$R$21)</f>
        <v>36.5</v>
      </c>
    </row>
    <row r="73">
      <c r="F73" s="2" t="str">
        <v>Nugs owe macbill $561</v>
      </c>
      <c r="Q73">
        <v>-100</v>
      </c>
      <c r="R73">
        <f>SUM(Q73*$R$21)</f>
        <v>100</v>
      </c>
    </row>
    <row r="74">
      <c r="Q74">
        <v>-28.55</v>
      </c>
      <c r="R74">
        <f>SUM(Q74*$R$21)</f>
        <v>28.55</v>
      </c>
    </row>
    <row r="75">
      <c r="F75" t="str">
        <v>Nugs owe macbill $311 as of 22/01/2025</v>
      </c>
      <c r="G75">
        <f>SUM(561-250)</f>
        <v>311</v>
      </c>
      <c r="Q75">
        <v>-117.74</v>
      </c>
      <c r="R75">
        <f>SUM(Q75*$R$21)</f>
        <v>117.74</v>
      </c>
    </row>
    <row r="76">
      <c r="F76" t="str">
        <v xml:space="preserve">Jan bill &gt; Nugs to add 155.5 to "Japan" </v>
      </c>
      <c r="G76">
        <v>155.5</v>
      </c>
      <c r="Q76">
        <v>-28</v>
      </c>
      <c r="R76">
        <f>SUM(Q76*$R$21)</f>
        <v>28</v>
      </c>
    </row>
    <row r="77">
      <c r="F77" t="str">
        <v xml:space="preserve">Feb bill &gt; Nugs to add 155.5 to "Japan" </v>
      </c>
      <c r="G77">
        <v>155.5</v>
      </c>
      <c r="Q77">
        <v>-1.91</v>
      </c>
      <c r="R77">
        <f>SUM(Q77*$R$21)</f>
        <v>1.91</v>
      </c>
    </row>
    <row r="78">
      <c r="Q78">
        <v>-1.03</v>
      </c>
      <c r="R78">
        <f>SUM(Q78*$R$21)</f>
        <v>1.03</v>
      </c>
    </row>
    <row r="79">
      <c r="Q79">
        <v>-0.49</v>
      </c>
      <c r="R79">
        <f>SUM(Q79*$R$21)</f>
        <v>0.49</v>
      </c>
    </row>
    <row r="80">
      <c r="Q80">
        <v>-37.5</v>
      </c>
      <c r="R80">
        <f>SUM(Q80*$R$21)</f>
        <v>37.5</v>
      </c>
    </row>
    <row r="81">
      <c r="Q81">
        <v>-16.82</v>
      </c>
      <c r="R81">
        <f>SUM(Q81*$R$21)</f>
        <v>16.82</v>
      </c>
    </row>
    <row r="82">
      <c r="Q82">
        <v>-99.2</v>
      </c>
      <c r="R82">
        <f>SUM(Q82*$R$21)</f>
        <v>99.2</v>
      </c>
    </row>
    <row r="83">
      <c r="Q83">
        <v>-66</v>
      </c>
      <c r="R83">
        <f>SUM(Q83*$R$21)</f>
        <v>66</v>
      </c>
    </row>
    <row r="86">
      <c r="F86">
        <v>1090</v>
      </c>
    </row>
    <row r="89">
      <c r="G89">
        <v>399.96</v>
      </c>
      <c r="H89">
        <v>266.64</v>
      </c>
      <c r="I89">
        <f>SUM(G89-H89)</f>
        <v>133.32</v>
      </c>
      <c r="J89" t="str">
        <v>extra money from the $200</v>
      </c>
    </row>
    <row r="90">
      <c r="G90">
        <v>199.98</v>
      </c>
      <c r="H90">
        <v>133.32</v>
      </c>
      <c r="I90">
        <f>SUM(G90-H90)</f>
        <v>66.66</v>
      </c>
    </row>
    <row r="97">
      <c r="G97" s="2">
        <v>6253.47</v>
      </c>
    </row>
    <row r="98">
      <c r="G98" t="str">
        <v/>
      </c>
      <c r="H98">
        <f>SUM(545*12)</f>
        <v>6540</v>
      </c>
    </row>
    <row r="99">
      <c r="G99" s="3" t="str">
        <v>Havies Distributed</v>
      </c>
      <c r="H99">
        <f>SUM(250*2)*12</f>
        <v>6000</v>
      </c>
    </row>
    <row r="100">
      <c r="G100" s="2">
        <v>371.18499999999983</v>
      </c>
      <c r="H100">
        <f>SUM(H98:H99)</f>
        <v>12540</v>
      </c>
    </row>
    <row r="102">
      <c r="G102" s="3" t="str">
        <v>TOTAL</v>
      </c>
    </row>
    <row r="103">
      <c r="G103" s="2">
        <v>-3577.3350765599994</v>
      </c>
    </row>
    <row r="104">
      <c r="F104">
        <f>SUM(3557-545)</f>
        <v>3012</v>
      </c>
      <c r="G104" s="2">
        <v>-1460.10253828</v>
      </c>
    </row>
    <row r="105">
      <c r="G105" s="2">
        <v>-800</v>
      </c>
    </row>
    <row r="106">
      <c r="G106" s="2">
        <v>-436.03000000000003</v>
      </c>
    </row>
    <row r="107">
      <c r="F107">
        <f>(169*12)</f>
        <v>2028</v>
      </c>
    </row>
    <row r="109">
      <c r="G109" s="2">
        <f>SUM(G103:G106)</f>
        <v>-6273.467615</v>
      </c>
    </row>
    <row r="111">
      <c r="F111" s="2">
        <v>482.53</v>
      </c>
      <c r="G111" t="str">
        <v>Tonys credit</v>
      </c>
    </row>
    <row r="112">
      <c r="H112" s="2">
        <v>157.495</v>
      </c>
      <c r="I112" s="2">
        <f>SUM(H112,H113)</f>
        <v>262.4906167</v>
      </c>
    </row>
    <row r="113">
      <c r="F113" s="2">
        <v>157.495</v>
      </c>
      <c r="G113" t="str">
        <v>tony/nugs</v>
      </c>
      <c r="H113" s="2">
        <v>104.99561670000001</v>
      </c>
      <c r="I113" t="str">
        <v>tonys pay</v>
      </c>
      <c r="J113">
        <v>-314.99</v>
      </c>
    </row>
    <row r="114">
      <c r="F114" s="2">
        <v>157.495</v>
      </c>
      <c r="G114" t="str">
        <v>jon/nina</v>
      </c>
      <c r="H114" s="2">
        <v>52.49780835000001</v>
      </c>
      <c r="I114" t="str">
        <v>Nugs</v>
      </c>
    </row>
    <row r="116">
      <c r="F116" s="2">
        <f>SUM(F111-H113-F114)</f>
        <v>220.0393833</v>
      </c>
    </row>
    <row r="122">
      <c r="F122">
        <v>-314.99</v>
      </c>
    </row>
    <row r="124">
      <c r="G124" s="2">
        <v>6253.47</v>
      </c>
    </row>
    <row r="125">
      <c r="G125" s="2">
        <f>SUM(G124-399)</f>
        <v>5854.47</v>
      </c>
    </row>
    <row r="132">
      <c r="F132">
        <v>25.119999999999997</v>
      </c>
    </row>
    <row r="133">
      <c r="F133">
        <v>40.4</v>
      </c>
    </row>
  </sheetData>
  <mergeCells count="7">
    <mergeCell ref="F1:G1"/>
    <mergeCell ref="J11:K11"/>
    <mergeCell ref="J20:L20"/>
    <mergeCell ref="N20:P20"/>
    <mergeCell ref="A47:B47"/>
    <mergeCell ref="F56:G56"/>
    <mergeCell ref="J64:K64"/>
  </mergeCells>
  <ignoredErrors>
    <ignoredError numberStoredAsText="1" sqref="A1:R15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back 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