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back u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/d/yyyy"/>
    <numFmt numFmtId="165" formatCode="mm/dd/yyyy"/>
    <numFmt numFmtId="166" formatCode="&quot;$&quot;#,##0.00"/>
    <numFmt numFmtId="167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49" fontId="0" fillId="0" borderId="0" xfId="0" applyNumberFormat="1"/>
    <xf numFmtId="16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R154"/>
  <sheetViews>
    <sheetView workbookViewId="0" rightToLeft="0"/>
  </sheetViews>
  <cols>
    <col min="3" max="3" customWidth="1" width="70"/>
  </cols>
  <sheetData>
    <row r="1">
      <c r="A1" s="1">
        <v>46359</v>
      </c>
      <c r="B1">
        <v>-35</v>
      </c>
      <c r="C1" t="str">
        <v>MONTHLY FEE</v>
      </c>
      <c r="D1" t="str">
        <v>macqbill</v>
      </c>
      <c r="F1" t="str">
        <v>AT A GLANCE</v>
      </c>
      <c r="J1" t="str">
        <v>Split Pay (extra chipins)</v>
      </c>
      <c r="M1" t="str">
        <v>Halvies from our personal</v>
      </c>
      <c r="N1" t="str">
        <v>Tonys Rebates</v>
      </c>
      <c r="O1" t="str">
        <v>Nugs Rebate</v>
      </c>
      <c r="Q1" t="str">
        <v>Extra Costs</v>
      </c>
    </row>
    <row r="2">
      <c r="A2" s="2">
        <v>46359</v>
      </c>
      <c r="B2">
        <v>-5.8</v>
      </c>
      <c r="C2" t="str">
        <v>EasyPark PRAHRAN AUS</v>
      </c>
      <c r="D2" t="str">
        <v>t</v>
      </c>
      <c r="F2" s="3">
        <f>SUMIF(D:D, "t", B:B)+Q3+Q4+N3+N2</f>
        <v>-1517.14</v>
      </c>
      <c r="G2" t="str">
        <v>Tony's Owing</v>
      </c>
      <c r="H2" s="3">
        <f>SUM(G17,G18)</f>
        <v>-1279.69</v>
      </c>
      <c r="J2" t="str">
        <v>Tony</v>
      </c>
      <c r="K2" t="str">
        <v>Nugs</v>
      </c>
      <c r="M2" s="3" t="str">
        <f>V2</f>
        <v/>
      </c>
      <c r="N2" s="3">
        <f>SUMIF(D:D, "cashback", B:B)/2</f>
        <v>0</v>
      </c>
      <c r="O2" s="3">
        <f>SUMIF(D:D, "cashback", B:B)/2</f>
        <v>0</v>
      </c>
      <c r="Q2" t="str">
        <v>Tony</v>
      </c>
      <c r="R2" t="str">
        <v>Nugs</v>
      </c>
    </row>
    <row r="3">
      <c r="A3" s="2">
        <v>46298</v>
      </c>
      <c r="B3">
        <v>-26.39</v>
      </c>
      <c r="C3" t="str">
        <v>THAI SOCIAL EMPORIUM BENTLEIGH VIC</v>
      </c>
      <c r="D3" t="str">
        <v>n</v>
      </c>
      <c r="F3" s="3">
        <f>SUMIF(D:D, "n", B:B)+R3+R4+O3+O2</f>
        <v>-1597.51</v>
      </c>
      <c r="G3" t="str">
        <v>Nug's Owing</v>
      </c>
      <c r="J3" s="3">
        <f>SUM(Q3+N3:N13+Q4)</f>
        <v>0</v>
      </c>
      <c r="K3" s="3">
        <f>SUM(R3+O3:O13+R4)</f>
        <v>0</v>
      </c>
      <c r="N3" s="3">
        <f>SUMIF(D:D, "tr", B:B)</f>
        <v>0</v>
      </c>
      <c r="O3" s="3">
        <f>SUMIF(D:D, "nr", B:B)</f>
        <v>0</v>
      </c>
      <c r="Q3" s="3">
        <f>SUM(T2:T13,V2*0.666666)</f>
        <v>0</v>
      </c>
      <c r="R3" s="3">
        <f>SUM(U2:U13,V2)*0.333333</f>
        <v>0</v>
      </c>
    </row>
    <row r="4">
      <c r="A4" s="2">
        <v>46268</v>
      </c>
      <c r="B4">
        <v>-5</v>
      </c>
      <c r="C4" t="str">
        <v>Department of Transpor MELBOURNE</v>
      </c>
      <c r="D4" t="str">
        <v>n</v>
      </c>
      <c r="F4" s="3">
        <f>SUMIF(D:D, "macq", B:B)+O4+O3</f>
        <v>-483.27</v>
      </c>
      <c r="G4" t="str">
        <v>Macquerie's Owing</v>
      </c>
      <c r="Q4" s="3">
        <f>R13</f>
        <v>0</v>
      </c>
      <c r="R4" s="3" t="str">
        <f>S13</f>
        <v/>
      </c>
    </row>
    <row r="5">
      <c r="A5" s="2">
        <v>46268</v>
      </c>
      <c r="B5">
        <v>-19.15</v>
      </c>
      <c r="C5" t="str">
        <v>Kindle Svcs*BP73U5LU1 SEATTLE WA ##0326 13.35 US DOLLAR</v>
      </c>
      <c r="D5" t="str">
        <v>n</v>
      </c>
      <c r="F5" s="3">
        <f>SUMIF(D:D, "macqbill", B:B)+R5+O5+O4</f>
        <v>-479.69</v>
      </c>
      <c r="G5" t="str">
        <v>Macquerie's Billing Owing</v>
      </c>
    </row>
    <row r="6">
      <c r="A6" s="2">
        <v>46268</v>
      </c>
      <c r="B6">
        <v>-12.13</v>
      </c>
      <c r="C6" t="str">
        <v>Kindle Svcs*BP66T0YG2 SEATTLE WA ##0326 8.46 US DOLLAR</v>
      </c>
      <c r="D6" t="str">
        <v>n</v>
      </c>
      <c r="F6" s="3">
        <f>SUMIF(D:D, "t", B:B)+Q3</f>
        <v>-1517.14</v>
      </c>
      <c r="G6" t="str">
        <v>Tony's Owing</v>
      </c>
    </row>
    <row r="7">
      <c r="A7" s="2">
        <v>46268</v>
      </c>
      <c r="B7">
        <v>-93.08</v>
      </c>
      <c r="C7" t="str">
        <v>Superloop Limited BRISBANE AUS</v>
      </c>
      <c r="D7" t="str">
        <v>macqbill</v>
      </c>
      <c r="F7" s="3">
        <f>SUMIF(D:D, "n", B:B)+R3</f>
        <v>-1597.51</v>
      </c>
      <c r="G7" t="str">
        <v>Nug's Owing</v>
      </c>
    </row>
    <row r="8">
      <c r="A8" s="2">
        <v>46268</v>
      </c>
      <c r="B8">
        <v>19.15</v>
      </c>
      <c r="C8" t="str">
        <v>Kindle Svcs SEATTLE WA ##0326 13.35 US DOLLAR</v>
      </c>
      <c r="D8" t="str">
        <v>n</v>
      </c>
      <c r="F8" s="3">
        <f>SUMIF(D:D, "macq", B:B)+S3</f>
        <v>-483.27</v>
      </c>
      <c r="G8" t="str">
        <v>Macquerie's Owing</v>
      </c>
    </row>
    <row r="9">
      <c r="A9" s="2">
        <v>46268</v>
      </c>
      <c r="B9">
        <v>12.13</v>
      </c>
      <c r="C9" t="str">
        <v>Kindle Svcs SEATTLE WA ##0326 8.46 US DOLLAR</v>
      </c>
      <c r="D9" t="str">
        <v>n</v>
      </c>
      <c r="F9" t="str">
        <v>Macq' Balance</v>
      </c>
      <c r="G9" s="3">
        <v>4356.07</v>
      </c>
      <c r="H9" t="str">
        <v>&lt;-- Enter CC total. If green, good. If red, bad.</v>
      </c>
    </row>
    <row r="10">
      <c r="A10" s="2">
        <v>46206</v>
      </c>
      <c r="B10">
        <v>-22.95</v>
      </c>
      <c r="C10" t="str">
        <v>KFC Sunshine Sunshine AUS</v>
      </c>
      <c r="D10" t="str">
        <v>macq</v>
      </c>
      <c r="F10" s="3">
        <v>-800</v>
      </c>
      <c r="G10" s="3">
        <f>IF(F12&gt;=0, F4, "")</f>
        <v>-483.27</v>
      </c>
      <c r="H10">
        <v>6786.19</v>
      </c>
      <c r="I10" t="str">
        <v>-</v>
      </c>
    </row>
    <row r="11">
      <c r="A11" s="2">
        <v>46206</v>
      </c>
      <c r="B11">
        <v>-1.74</v>
      </c>
      <c r="C11" t="str">
        <v>COLES 7770 FOOTSCRAY 03</v>
      </c>
      <c r="D11" t="str">
        <v>t</v>
      </c>
      <c r="F11" t="str">
        <v>Macquerie Excess</v>
      </c>
      <c r="G11" s="4" t="str">
        <v>Havies Distributed</v>
      </c>
      <c r="J11" t="str">
        <v>AT A GLANCE</v>
      </c>
    </row>
    <row r="12">
      <c r="A12" s="2">
        <v>46206</v>
      </c>
      <c r="B12">
        <v>-17.32</v>
      </c>
      <c r="C12" t="str">
        <v>SQ *OLD MAN PHO EMPORI Melbourne VI</v>
      </c>
      <c r="D12" t="str">
        <v>n</v>
      </c>
      <c r="F12" s="3">
        <f>SUM(F10-F4)*-1</f>
        <v>316.73</v>
      </c>
      <c r="G12" s="3">
        <f>IF(F12&gt;=0, 0, F12/2)*-1</f>
        <v>0</v>
      </c>
      <c r="J12" s="3">
        <f>SUM(847.935+244.25)</f>
        <v>1092.185</v>
      </c>
      <c r="K12" t="str">
        <v>Tony's Owing</v>
      </c>
      <c r="Q12" t="str">
        <v>Tony 2:1 Nugs</v>
      </c>
      <c r="R12" t="str">
        <v>Tony</v>
      </c>
    </row>
    <row r="13">
      <c r="A13" s="2">
        <v>46206</v>
      </c>
      <c r="B13">
        <v>-22.22</v>
      </c>
      <c r="C13" t="str">
        <v>SECURE PARKING THE STR MELBOURNE AUS</v>
      </c>
      <c r="D13" t="str">
        <v>n</v>
      </c>
      <c r="J13" s="3">
        <v>858.4549999999999</v>
      </c>
      <c r="K13" t="str">
        <v>Nug's Owing</v>
      </c>
      <c r="Q13">
        <f>SUMIF(D:D, "Tony66", B:B)</f>
        <v>0</v>
      </c>
      <c r="R13" s="4">
        <f>SUM(Q13*0.75)</f>
        <v>0</v>
      </c>
    </row>
    <row r="14">
      <c r="A14" s="2">
        <v>46176</v>
      </c>
      <c r="B14">
        <v>-91.49</v>
      </c>
      <c r="C14" t="str">
        <v>Beauty Genesis Melbourne VIC</v>
      </c>
      <c r="D14" t="str">
        <v>n</v>
      </c>
      <c r="G14" s="4" t="str">
        <v>TOTAL</v>
      </c>
      <c r="H14" s="3">
        <f>SUM(G15:G18)</f>
        <v>-4077.610317</v>
      </c>
      <c r="I14" s="3">
        <f>SUM(G17,G18)</f>
        <v>-1279.69</v>
      </c>
      <c r="J14" s="3">
        <v>800</v>
      </c>
      <c r="K14" t="str">
        <v>Macquerie's Owing</v>
      </c>
    </row>
    <row r="15">
      <c r="A15" s="2">
        <v>46176</v>
      </c>
      <c r="B15">
        <v>-15.83</v>
      </c>
      <c r="C15" t="str">
        <v>BABA RICH CATERING PT Melbourne VIC</v>
      </c>
      <c r="D15" t="str">
        <v>n</v>
      </c>
      <c r="F15" t="str">
        <v>Tony:</v>
      </c>
      <c r="G15" s="3">
        <f>SUM(F2,G27)</f>
        <v>-1305.986878</v>
      </c>
      <c r="H15" s="3">
        <f>SUM(F6)</f>
        <v>-1517.14</v>
      </c>
      <c r="J15" s="3">
        <v>467.46</v>
      </c>
      <c r="K15" t="str">
        <v>Macquerie's Billing Owing</v>
      </c>
    </row>
    <row r="16">
      <c r="A16" s="2">
        <v>46176</v>
      </c>
      <c r="B16">
        <v>-20.2</v>
      </c>
      <c r="C16" t="str">
        <v>SECURE PARKING THE STR MELBOURNE AUS</v>
      </c>
      <c r="D16" t="str">
        <v>n</v>
      </c>
      <c r="F16" t="str">
        <v>Nugs:</v>
      </c>
      <c r="G16" s="3">
        <f>SUM(F3,F27)</f>
        <v>-1491.933439</v>
      </c>
      <c r="H16" s="3">
        <f>SUM(F7)</f>
        <v>-1597.51</v>
      </c>
    </row>
    <row r="17">
      <c r="A17" s="2">
        <v>46176</v>
      </c>
      <c r="B17">
        <v>-164.52</v>
      </c>
      <c r="C17" t="str">
        <v>WWW.ALIEXPRESS.COM LONDON ## GBR MERCHANT</v>
      </c>
      <c r="D17" t="str">
        <v>t</v>
      </c>
      <c r="F17" t="str">
        <v>Macq:</v>
      </c>
      <c r="G17" s="3">
        <f>SUM(F4-F12)</f>
        <v>-800</v>
      </c>
      <c r="H17" s="3">
        <f>SUM(F8)</f>
        <v>-483.27</v>
      </c>
    </row>
    <row r="18">
      <c r="A18" s="2">
        <v>46145</v>
      </c>
      <c r="B18">
        <v>-11.32</v>
      </c>
      <c r="C18" t="str">
        <v>ALDI STORES WEST FOOTSCR</v>
      </c>
      <c r="D18" t="str">
        <v>t</v>
      </c>
      <c r="F18" t="str">
        <v>Macqbill:</v>
      </c>
      <c r="G18" s="3">
        <f>F5</f>
        <v>-479.69</v>
      </c>
    </row>
    <row r="19">
      <c r="A19" s="2">
        <v>46145</v>
      </c>
      <c r="B19">
        <v>-92.33</v>
      </c>
      <c r="C19" t="str">
        <v>COLES 7664 MARIBYRNONG 03</v>
      </c>
      <c r="D19" t="str">
        <v>macq</v>
      </c>
      <c r="G19" s="3">
        <f>SUM(G15:G18)</f>
        <v>-4077.610317</v>
      </c>
      <c r="H19" t="str">
        <v>&lt;-- Chip ins - G9. If green, good. If red, bad.</v>
      </c>
    </row>
    <row r="20">
      <c r="A20" s="2">
        <v>46145</v>
      </c>
      <c r="B20">
        <v>-6.47</v>
      </c>
      <c r="C20" t="str">
        <v>EasyPark PRAHRAN AUS</v>
      </c>
      <c r="D20" t="str">
        <v>t</v>
      </c>
      <c r="J20" t="str">
        <v>COMMON TRANSACTIONS</v>
      </c>
    </row>
    <row r="21">
      <c r="A21" s="2">
        <v>46115</v>
      </c>
      <c r="B21">
        <v>-90.31</v>
      </c>
      <c r="C21" t="str">
        <v>Optus Billing MacquarieParNSW</v>
      </c>
      <c r="D21" t="str">
        <v>macqbill</v>
      </c>
      <c r="J21" t="str">
        <v>Paypal</v>
      </c>
      <c r="R21">
        <v>-1</v>
      </c>
    </row>
    <row r="22">
      <c r="A22" s="2">
        <v>46115</v>
      </c>
      <c r="B22">
        <v>-34.45</v>
      </c>
      <c r="C22" t="str">
        <v>COLES 7795 BRAYBROOK 03</v>
      </c>
      <c r="D22" t="str">
        <v>macq</v>
      </c>
      <c r="F22" t="str">
        <v>Status</v>
      </c>
      <c r="G22" t="str">
        <v xml:space="preserve">UP TO DATE: </v>
      </c>
      <c r="J22" t="str">
        <v>Paypal *Netflix Aus 4029357733</v>
      </c>
      <c r="Q22">
        <v>-57.28</v>
      </c>
      <c r="R22">
        <f>SUM(Q22*$R$21)</f>
        <v>57.28</v>
      </c>
    </row>
    <row r="23">
      <c r="A23" s="2">
        <v>46115</v>
      </c>
      <c r="B23">
        <v>-180.31</v>
      </c>
      <c r="C23" t="str">
        <v>RED ENERGY CREMORNE</v>
      </c>
      <c r="D23" t="str">
        <v>macqbill</v>
      </c>
      <c r="F23" t="str">
        <f>IF(I23=TRUE,"PAID","NOT PAID")</f>
        <v>PAID</v>
      </c>
      <c r="G23" t="str">
        <v>TONY</v>
      </c>
      <c r="H23" s="3">
        <f>IF(I23=TRUE,"",G15)-E46</f>
        <v>0</v>
      </c>
      <c r="I23" t="b">
        <v>1</v>
      </c>
      <c r="J23" t="str">
        <v>Ampol</v>
      </c>
      <c r="Q23">
        <v>-39.14</v>
      </c>
      <c r="R23">
        <f>SUM(Q23*$R$21)</f>
        <v>39.14</v>
      </c>
    </row>
    <row r="24">
      <c r="A24" s="2">
        <v>46115</v>
      </c>
      <c r="B24">
        <v>-2.28</v>
      </c>
      <c r="C24" t="str">
        <v>EasyPark PRAHRAN AUS</v>
      </c>
      <c r="D24" t="str">
        <v>t</v>
      </c>
      <c r="F24" t="str">
        <f>IF(I24=TRUE,"PAID","NOT PAID")</f>
        <v>PAID</v>
      </c>
      <c r="G24" t="str">
        <v>NUGS</v>
      </c>
      <c r="H24" s="3" t="str">
        <f>IF(I24=TRUE,"",G16)</f>
        <v/>
      </c>
      <c r="I24" t="b">
        <v>1</v>
      </c>
      <c r="J24" t="str">
        <v>Easypark</v>
      </c>
      <c r="Q24">
        <v>-80.96</v>
      </c>
      <c r="R24">
        <f>SUM(Q24*$R$21)</f>
        <v>80.96</v>
      </c>
    </row>
    <row r="25">
      <c r="A25" s="1">
        <v>46084</v>
      </c>
      <c r="B25">
        <v>-97.86</v>
      </c>
      <c r="C25" t="str">
        <v>Uniqlo Emporium Melbourne AUS</v>
      </c>
      <c r="D25" t="str">
        <v>n</v>
      </c>
      <c r="F25" t="str">
        <f>IF(I25=TRUE,"PAID","NOT PAID")</f>
        <v>PAID</v>
      </c>
      <c r="G25" t="str">
        <v>MACQ</v>
      </c>
      <c r="H25" s="3" t="str">
        <f>IF(I25=TRUE,"",G17)</f>
        <v/>
      </c>
      <c r="I25" t="b">
        <v>1</v>
      </c>
      <c r="J25" t="str">
        <v>Ampol</v>
      </c>
      <c r="Q25">
        <v>-17.7</v>
      </c>
      <c r="R25">
        <f>SUM(Q25*$R$21)</f>
        <v>17.7</v>
      </c>
    </row>
    <row r="26">
      <c r="A26" s="1">
        <v>46084</v>
      </c>
      <c r="B26">
        <v>-199</v>
      </c>
      <c r="C26" t="str">
        <v>MYER MELBOURNE CITY MELBOURNE VIC</v>
      </c>
      <c r="D26" t="str">
        <v>n</v>
      </c>
      <c r="F26" t="str">
        <f>IF(I26=TRUE,"PAID","NOT PAID")</f>
        <v>PAID</v>
      </c>
      <c r="G26" t="str">
        <v>MACQBILL</v>
      </c>
      <c r="H26" s="3" t="str">
        <f>IF(I26=TRUE,"",G18)</f>
        <v/>
      </c>
      <c r="I26" t="b">
        <v>1</v>
      </c>
      <c r="J26" t="str">
        <v>Petbarn</v>
      </c>
      <c r="Q26">
        <v>-4.6</v>
      </c>
      <c r="R26">
        <f>SUM(Q26*$R$21)</f>
        <v>4.6</v>
      </c>
    </row>
    <row r="27">
      <c r="A27" s="1">
        <v>46084</v>
      </c>
      <c r="B27">
        <v>-10.08</v>
      </c>
      <c r="C27" t="str">
        <v>EasyPark PRAHRAN AUS</v>
      </c>
      <c r="D27" t="str">
        <v>t</v>
      </c>
      <c r="F27" s="3">
        <f>SUM(F12*0.333333)</f>
        <v>105.5765611</v>
      </c>
      <c r="G27" s="3">
        <f>SUM(F12*0.666666)</f>
        <v>211.1531222</v>
      </c>
      <c r="J27" t="str">
        <v>Gww</v>
      </c>
      <c r="Q27">
        <v>-89.6</v>
      </c>
      <c r="R27">
        <f>SUM(Q27*$R$21)</f>
        <v>89.6</v>
      </c>
    </row>
    <row r="28">
      <c r="A28" s="1">
        <v>46056</v>
      </c>
      <c r="B28">
        <v>-29.46</v>
      </c>
      <c r="C28" t="str">
        <v>Song Ngu Braybrook VIC</v>
      </c>
      <c r="D28" t="str">
        <v>split</v>
      </c>
      <c r="G28" t="str">
        <v>At a Glance</v>
      </c>
      <c r="J28" t="str">
        <v>Amazon</v>
      </c>
      <c r="Q28">
        <v>-126</v>
      </c>
      <c r="R28">
        <f>SUM(Q28*$R$21)</f>
        <v>126</v>
      </c>
    </row>
    <row r="29">
      <c r="A29" s="1">
        <v>46025</v>
      </c>
      <c r="B29">
        <v>-24.24</v>
      </c>
      <c r="C29" t="str">
        <v>SECURE PARKING THE STR MELBOURNE AUS</v>
      </c>
      <c r="D29" t="str">
        <v>n</v>
      </c>
      <c r="F29" t="str">
        <v>Grocery</v>
      </c>
      <c r="G29" s="3">
        <f>I44</f>
        <v>3818.31</v>
      </c>
      <c r="J29" t="str">
        <v>AGL</v>
      </c>
      <c r="Q29">
        <v>-109.77</v>
      </c>
      <c r="R29">
        <f>SUM(Q29*$R$21)</f>
        <v>109.77</v>
      </c>
    </row>
    <row r="30">
      <c r="A30" t="str">
        <v>28/02/2026</v>
      </c>
      <c r="B30">
        <v>-24.24</v>
      </c>
      <c r="C30" t="str">
        <v>SECURE PARKING THE STR MELBOURNE AUS</v>
      </c>
      <c r="D30" t="str">
        <v>n</v>
      </c>
      <c r="F30" t="str">
        <v>Fast Food</v>
      </c>
      <c r="G30" s="3">
        <f>O37</f>
        <v>-41.9</v>
      </c>
      <c r="H30">
        <f>SUM(314.99)</f>
        <v>314.99</v>
      </c>
      <c r="J30" t="str">
        <v>Uniqlo</v>
      </c>
      <c r="Q30">
        <v>-30</v>
      </c>
      <c r="R30">
        <f>SUM(Q30*$R$21)</f>
        <v>30</v>
      </c>
    </row>
    <row r="31">
      <c r="A31" t="str">
        <v>27/02/2026</v>
      </c>
      <c r="B31">
        <v>-22.22</v>
      </c>
      <c r="C31" t="str">
        <v>SECURE PARKING THE STR MELBOURNE AUS</v>
      </c>
      <c r="D31" t="str">
        <v>n</v>
      </c>
      <c r="F31" t="str">
        <v>Resturant/Cafe</v>
      </c>
      <c r="G31" s="3">
        <f>O42</f>
        <v>0</v>
      </c>
      <c r="H31">
        <f>SUM(H30/2)</f>
        <v>157.495</v>
      </c>
      <c r="Q31">
        <v>-37.5</v>
      </c>
      <c r="R31">
        <f>SUM(Q31*$R$21)</f>
        <v>37.5</v>
      </c>
    </row>
    <row r="32">
      <c r="A32" t="str">
        <v>26/02/2026</v>
      </c>
      <c r="B32">
        <v>-36.9</v>
      </c>
      <c r="C32" t="str">
        <v>KFC Sunshine Sunshine AUS</v>
      </c>
      <c r="D32" t="str">
        <v>macq</v>
      </c>
      <c r="G32" s="3">
        <f>SUM(G17:G18)</f>
        <v>-1279.69</v>
      </c>
      <c r="M32">
        <v>6333.78</v>
      </c>
      <c r="Q32">
        <v>-21.8</v>
      </c>
      <c r="R32">
        <f>SUM(Q32*$R$21)</f>
        <v>21.8</v>
      </c>
    </row>
    <row r="33">
      <c r="A33" t="str">
        <v>26/02/2026</v>
      </c>
      <c r="B33">
        <v>-33</v>
      </c>
      <c r="C33" t="str">
        <v>COLES 7795 BRAYBROOK 03</v>
      </c>
      <c r="D33" t="str">
        <v>macq</v>
      </c>
      <c r="G33" s="3">
        <f>SUM(G15:G18)</f>
        <v>-4077.610317</v>
      </c>
      <c r="M33">
        <v>2969</v>
      </c>
      <c r="Q33">
        <v>-36.53</v>
      </c>
      <c r="R33">
        <f>SUM(Q33*$R$21)</f>
        <v>36.53</v>
      </c>
    </row>
    <row r="34">
      <c r="A34" t="str">
        <v>26/02/2026</v>
      </c>
      <c r="B34">
        <v>-15.9</v>
      </c>
      <c r="C34" t="str">
        <v>EasyPark PRAHRAN AUS</v>
      </c>
      <c r="D34" t="str">
        <v>t</v>
      </c>
      <c r="M34">
        <f>SUM(M32-M33)</f>
        <v>3364.78</v>
      </c>
      <c r="Q34">
        <v>-4.92</v>
      </c>
      <c r="R34">
        <f>SUM(Q34*$R$21)</f>
        <v>4.92</v>
      </c>
    </row>
    <row r="35">
      <c r="A35" t="str">
        <v>25/02/2026</v>
      </c>
      <c r="B35">
        <v>-27.07</v>
      </c>
      <c r="C35" t="str">
        <v>COLES 7795 BRAYBROOK 03</v>
      </c>
      <c r="D35" t="str">
        <v>macq</v>
      </c>
      <c r="F35" t="str">
        <v>Tony:</v>
      </c>
      <c r="G35" s="3">
        <f>SUM(G15,G12)</f>
        <v>-1305.986878</v>
      </c>
      <c r="M35">
        <v>4489.87</v>
      </c>
      <c r="Q35">
        <v>-101.42</v>
      </c>
      <c r="R35">
        <f>SUM(Q35*$R$21)</f>
        <v>101.42</v>
      </c>
    </row>
    <row r="36">
      <c r="A36" t="str">
        <v>25/02/2026</v>
      </c>
      <c r="B36">
        <v>-242.1</v>
      </c>
      <c r="C36" t="str">
        <v>Uniqlo Emporium Melbourne AUS</v>
      </c>
      <c r="D36" t="str">
        <v>n</v>
      </c>
      <c r="F36" t="str">
        <v>Nugs:</v>
      </c>
      <c r="G36" s="3">
        <f>SUM(G16-G12)</f>
        <v>-1491.933439</v>
      </c>
      <c r="M36">
        <f>SUM(M35-M34)</f>
        <v>1125.09</v>
      </c>
      <c r="Q36">
        <v>-13.32</v>
      </c>
      <c r="R36">
        <f>SUM(Q36*$R$21)</f>
        <v>13.32</v>
      </c>
    </row>
    <row r="37">
      <c r="A37" t="str">
        <v>24/02/2026</v>
      </c>
      <c r="B37">
        <v>-22.22</v>
      </c>
      <c r="C37" t="str">
        <v>SECURE PARKING THE STR MELBOURNE AUS</v>
      </c>
      <c r="D37" t="str">
        <v>n</v>
      </c>
      <c r="N37">
        <v>2400</v>
      </c>
      <c r="O37">
        <f>SUM(O38:O40)</f>
        <v>-41.9</v>
      </c>
      <c r="Q37">
        <v>-4.5</v>
      </c>
      <c r="R37">
        <f>SUM(Q37*$R$21)</f>
        <v>4.5</v>
      </c>
    </row>
    <row r="38" xml:space="preserve">
      <c r="A38" t="str">
        <v>24/02/2026</v>
      </c>
      <c r="B38">
        <v>-20.14</v>
      </c>
      <c r="C38" t="str">
        <v>DOOBOO SWANSTON ST MELBOURNE VIC</v>
      </c>
      <c r="D38" t="str">
        <v>n</v>
      </c>
      <c r="E38" t="str">
        <v>350 uniql;o</v>
      </c>
      <c r="M38">
        <f>SUM(M34-M36)</f>
        <v>2239.69</v>
      </c>
      <c r="N38" t="str">
        <v>sad458548412322</v>
      </c>
      <c r="O38" xml:space="preserve">
        <f xml:space="preserve">SUMPRODUCT(--(ISNUMBER(SEARCH(N38, C:C))), B:B)
</f>
        <v>0</v>
      </c>
      <c r="Q38">
        <v>-8.9</v>
      </c>
      <c r="R38">
        <f>SUM(Q38*$R$21)</f>
        <v>8.9</v>
      </c>
    </row>
    <row r="39" xml:space="preserve">
      <c r="A39" t="str">
        <v>24/02/2026</v>
      </c>
      <c r="B39">
        <v>-6.4</v>
      </c>
      <c r="C39" t="str">
        <v>Tukk &amp; Co. Docklands VIC</v>
      </c>
      <c r="D39" t="str">
        <v>t</v>
      </c>
      <c r="E39" t="str">
        <v>25 w retail</v>
      </c>
      <c r="I39" s="3">
        <f>SUM(G15:G18)</f>
        <v>-4077.610317</v>
      </c>
      <c r="K39">
        <v>3533.71</v>
      </c>
      <c r="M39">
        <f>SUM(M33-M38)</f>
        <v>729.31</v>
      </c>
      <c r="N39" t="str">
        <v>Mcdonalds</v>
      </c>
      <c r="O39" xml:space="preserve">
        <f xml:space="preserve">SUMPRODUCT(--(ISNUMBER(SEARCH(N39, C:C))), B:B)
</f>
        <v>-41.9</v>
      </c>
      <c r="Q39">
        <v>-51.33</v>
      </c>
      <c r="R39">
        <f>SUM(Q39*$R$21)</f>
        <v>51.33</v>
      </c>
    </row>
    <row r="40" xml:space="preserve">
      <c r="A40" t="str">
        <v>24/02/2026</v>
      </c>
      <c r="B40">
        <v>-12.65</v>
      </c>
      <c r="C40" t="str">
        <v>XISHENG AUSTRALIA PTY BRAYBROOK</v>
      </c>
      <c r="D40" t="str">
        <v>macq</v>
      </c>
      <c r="E40" t="str">
        <v>100 spotlight</v>
      </c>
      <c r="I40" s="3">
        <f>SUM(3818.31+I39)</f>
        <v>-259.3003167</v>
      </c>
      <c r="K40">
        <v>475.13</v>
      </c>
      <c r="N40" t="str">
        <v>Pizza Hut</v>
      </c>
      <c r="O40" xml:space="preserve">
        <f xml:space="preserve">SUMPRODUCT(--(ISNUMBER(SEARCH(N40, C:C))), B:B)
</f>
        <v>0</v>
      </c>
      <c r="Q40">
        <v>-28.65</v>
      </c>
      <c r="R40">
        <f>SUM(Q40*$R$21)</f>
        <v>28.65</v>
      </c>
    </row>
    <row r="41">
      <c r="A41" t="str">
        <v>23/02/2026</v>
      </c>
      <c r="B41">
        <v>-12.2</v>
      </c>
      <c r="C41" t="str">
        <v>COLES 7795 BRAYBROOK 03</v>
      </c>
      <c r="D41" t="str">
        <v>macq</v>
      </c>
      <c r="F41" s="3">
        <f>SUM(G17,G18)</f>
        <v>-1279.69</v>
      </c>
      <c r="I41">
        <f>SUM(2230.04+7.19)</f>
        <v>2237.23</v>
      </c>
      <c r="K41">
        <f>SUM(K39-K40)</f>
        <v>3058.58</v>
      </c>
      <c r="Q41">
        <v>-59.99</v>
      </c>
      <c r="R41">
        <f>SUM(Q41*$R$21)</f>
        <v>59.99</v>
      </c>
    </row>
    <row r="42">
      <c r="A42" t="str">
        <v>23/02/2026</v>
      </c>
      <c r="B42">
        <v>-35.42</v>
      </c>
      <c r="C42" t="str">
        <v>ALIEXPRESS.COM LONDON ENG ## GBR MERCHANT</v>
      </c>
      <c r="D42" t="str">
        <v>t</v>
      </c>
      <c r="I42">
        <v>1104.66</v>
      </c>
      <c r="N42" t="str">
        <v>Resturant/Cafe</v>
      </c>
      <c r="O42">
        <f>SUM(O43:O60)</f>
        <v>0</v>
      </c>
      <c r="Q42">
        <v>-66.16</v>
      </c>
      <c r="R42">
        <f>SUM(Q42*$R$21)</f>
        <v>66.16</v>
      </c>
    </row>
    <row r="43" xml:space="preserve">
      <c r="A43" t="str">
        <v>23/02/2026</v>
      </c>
      <c r="B43">
        <v>-294</v>
      </c>
      <c r="C43" t="str">
        <v>gu health rewards GG CAMBERWELL AUS</v>
      </c>
      <c r="D43" t="str">
        <v>t</v>
      </c>
      <c r="I43">
        <v>476.42</v>
      </c>
      <c r="M43">
        <v>2969</v>
      </c>
      <c r="N43" t="str">
        <v>Ootoro</v>
      </c>
      <c r="O43" xml:space="preserve">
        <f xml:space="preserve">SUMPRODUCT(--(ISNUMBER(SEARCH(N43, C:C))), B:B)
</f>
        <v>0</v>
      </c>
      <c r="Q43">
        <v>-244.6</v>
      </c>
      <c r="R43">
        <f>SUM(Q43*$R$21)</f>
        <v>244.6</v>
      </c>
    </row>
    <row r="44" xml:space="preserve">
      <c r="A44" t="str">
        <v>23/02/2026</v>
      </c>
      <c r="B44">
        <v>-3.71</v>
      </c>
      <c r="C44" t="str">
        <v>EasyPark PRAHRAN AUS</v>
      </c>
      <c r="D44" t="str">
        <v>t</v>
      </c>
      <c r="I44">
        <f>SUM(I41:I43)</f>
        <v>3818.31</v>
      </c>
      <c r="M44">
        <v>2969</v>
      </c>
      <c r="N44" t="str">
        <v>Brunetti</v>
      </c>
      <c r="O44" xml:space="preserve">
        <f xml:space="preserve">SUMPRODUCT(--(ISNUMBER(SEARCH(N44, C:C))), B:B)
</f>
        <v>0</v>
      </c>
      <c r="Q44">
        <v>-12.99</v>
      </c>
      <c r="R44">
        <f>SUM(Q44*$R$21)</f>
        <v>12.99</v>
      </c>
    </row>
    <row r="45" xml:space="preserve">
      <c r="A45" t="str">
        <v>23/02/2026</v>
      </c>
      <c r="B45">
        <v>-38.4</v>
      </c>
      <c r="C45" t="str">
        <v>aliexpress North SydneyAUS</v>
      </c>
      <c r="D45" t="str">
        <v>t</v>
      </c>
      <c r="E45">
        <f>SUM(B12,B18,B24,B28,B31,B34,B43,B50,B57,B69,B75,B81,B88,B102,B104)</f>
        <v>-604.17</v>
      </c>
      <c r="F45">
        <f>SUM(442+1445+87.57)</f>
        <v>1974.57</v>
      </c>
      <c r="G45" s="3" t="str">
        <v>TOTAL TONY NUG OWING TO MACQBILL</v>
      </c>
      <c r="H45" t="str">
        <v>AS OF JUNE</v>
      </c>
      <c r="I45" s="3">
        <f>SUM(G15:G18)</f>
        <v>-4077.610317</v>
      </c>
      <c r="M45">
        <v>1125.0900000000001</v>
      </c>
      <c r="N45">
        <f>SUM(M44-M45)</f>
        <v>1843.91</v>
      </c>
      <c r="O45" xml:space="preserve">
        <f xml:space="preserve">SUMPRODUCT(--(ISNUMBER(SEARCH(N45, C:C))), B:B)
</f>
        <v>0</v>
      </c>
      <c r="Q45">
        <v>-26.7</v>
      </c>
      <c r="R45">
        <f>SUM(Q45*$R$21)</f>
        <v>26.7</v>
      </c>
    </row>
    <row r="46" xml:space="preserve">
      <c r="A46" t="str">
        <v>23/02/2026</v>
      </c>
      <c r="B46">
        <v>-107.22</v>
      </c>
      <c r="C46" t="str">
        <v>aliexpress North SydneyAUS</v>
      </c>
      <c r="D46" t="str">
        <v>t</v>
      </c>
      <c r="F46">
        <f>SUM(F45/4)</f>
        <v>493.6425</v>
      </c>
      <c r="G46" s="3" t="str">
        <v>PER MONTH</v>
      </c>
      <c r="H46" t="str">
        <v>EXP SEPT CYCLE</v>
      </c>
      <c r="I46">
        <f>SUM(1361.83+1355.97+1283.83)</f>
        <v>4001.63</v>
      </c>
      <c r="M46">
        <v>1843.9099999999999</v>
      </c>
      <c r="N46" t="str">
        <v>Chicken Cafe</v>
      </c>
      <c r="O46" xml:space="preserve">
        <f xml:space="preserve">SUMPRODUCT(--(ISNUMBER(SEARCH(N46, C:C))), B:B)
</f>
        <v>0</v>
      </c>
      <c r="Q46">
        <v>-42.96</v>
      </c>
      <c r="R46">
        <f>SUM(Q46*$R$21)</f>
        <v>42.96</v>
      </c>
    </row>
    <row r="47" xml:space="preserve">
      <c r="A47" t="str">
        <v>23/02/2026</v>
      </c>
      <c r="C47" t="str">
        <v>PAYMENT RECEIVED, THANK YOU</v>
      </c>
      <c r="F47">
        <f xml:space="preserve">SUM(F46*0.33) </f>
        <v>162.902025</v>
      </c>
      <c r="G47" t="str">
        <v>NUGS</v>
      </c>
      <c r="N47" t="str">
        <v>First Taste</v>
      </c>
      <c r="O47" xml:space="preserve">
        <f xml:space="preserve">SUMPRODUCT(--(ISNUMBER(SEARCH(N47, C:C))), B:B)
</f>
        <v>0</v>
      </c>
      <c r="Q47">
        <v>-117.97</v>
      </c>
      <c r="R47">
        <f>SUM(Q47*$R$21)</f>
        <v>117.97</v>
      </c>
    </row>
    <row r="48" xml:space="preserve">
      <c r="A48" t="str">
        <v>22/02/2026</v>
      </c>
      <c r="B48">
        <v>-113.71</v>
      </c>
      <c r="C48" t="str">
        <v>PAYPAL *ETSYIRELAND 4029357733 AUS</v>
      </c>
      <c r="D48" t="str">
        <v>t</v>
      </c>
      <c r="F48">
        <f>SUM(F46*0.66)</f>
        <v>325.80405</v>
      </c>
      <c r="G48" t="str">
        <v>TONY</v>
      </c>
      <c r="N48" t="str">
        <v>Tori's</v>
      </c>
      <c r="O48" xml:space="preserve">
        <f xml:space="preserve">SUMPRODUCT(--(ISNUMBER(SEARCH(N48, C:C))), B:B)
</f>
        <v>0</v>
      </c>
      <c r="Q48">
        <v>-34.14</v>
      </c>
      <c r="R48">
        <f>SUM(Q48*$R$21)</f>
        <v>34.14</v>
      </c>
    </row>
    <row r="49" xml:space="preserve">
      <c r="A49" t="str">
        <v>22/02/2026</v>
      </c>
      <c r="B49">
        <v>20.9</v>
      </c>
      <c r="C49" t="str">
        <v>PAYPAL *KOGAN.COM 4029357733 AUS</v>
      </c>
      <c r="D49" t="str">
        <v>t</v>
      </c>
      <c r="F49" t="str">
        <v>NEXT CREDIT CARD</v>
      </c>
      <c r="G49">
        <f>SUM(F45-F46)</f>
        <v>1480.9275</v>
      </c>
      <c r="I49">
        <f>SUM(1361.83+283.83)</f>
        <v>1645.66</v>
      </c>
      <c r="J49" t="str">
        <v>tony</v>
      </c>
      <c r="N49" t="str">
        <v>Secret Lagoon</v>
      </c>
      <c r="O49" xml:space="preserve">
        <f xml:space="preserve">SUMPRODUCT(--(ISNUMBER(SEARCH(N49, C:C))), B:B)
</f>
        <v>0</v>
      </c>
      <c r="Q49">
        <v>-17.15</v>
      </c>
      <c r="R49">
        <f>SUM(Q49*$R$21)</f>
        <v>17.15</v>
      </c>
    </row>
    <row r="50" xml:space="preserve">
      <c r="A50" t="str">
        <v>22/02/2026</v>
      </c>
      <c r="B50">
        <v>-39.99</v>
      </c>
      <c r="C50" t="str">
        <v>REBEL HIGHPOINT MARIBYRNONG VIC</v>
      </c>
      <c r="D50" t="str">
        <v>t</v>
      </c>
      <c r="I50">
        <f>SUM(561.83+800)</f>
        <v>1361.83</v>
      </c>
      <c r="N50" t="str">
        <v>Universal</v>
      </c>
      <c r="O50" xml:space="preserve">
        <f xml:space="preserve">SUMPRODUCT(--(ISNUMBER(SEARCH(N50, C:C))), B:B)
</f>
        <v>0</v>
      </c>
      <c r="Q50">
        <v>-53.98</v>
      </c>
      <c r="R50">
        <f>SUM(Q50*$R$21)</f>
        <v>53.98</v>
      </c>
    </row>
    <row r="51" xml:space="preserve">
      <c r="A51" t="str">
        <v>22/02/2026</v>
      </c>
      <c r="B51">
        <v>-5.25</v>
      </c>
      <c r="C51" t="str">
        <v>CHEMIST WAREHOUSE HIGH MARIBYRNONG VIC</v>
      </c>
      <c r="D51" t="str">
        <v>macq</v>
      </c>
      <c r="F51">
        <v>2432.6396736</v>
      </c>
      <c r="G51">
        <f>SUM(F51+F48)</f>
        <v>2758.443724</v>
      </c>
      <c r="I51">
        <f>SUM(4001.63)-(I49+I50)</f>
        <v>994.14</v>
      </c>
      <c r="N51" t="str">
        <v>Pie Thief</v>
      </c>
      <c r="O51" xml:space="preserve">
        <f xml:space="preserve">SUMPRODUCT(--(ISNUMBER(SEARCH(N51, C:C))), B:B)
</f>
        <v>0</v>
      </c>
      <c r="Q51">
        <v>-65.8</v>
      </c>
      <c r="R51">
        <f>SUM(Q51*$R$21)</f>
        <v>65.8</v>
      </c>
    </row>
    <row r="52" xml:space="preserve">
      <c r="A52" t="str">
        <v>22/02/2026</v>
      </c>
      <c r="B52">
        <v>-112.56</v>
      </c>
      <c r="C52" t="str">
        <v>WWW.ALIEXPRESS.COM LONDON ## GBR MERCHANT</v>
      </c>
      <c r="D52" t="str">
        <v>t</v>
      </c>
      <c r="F52">
        <v>214.0198368</v>
      </c>
      <c r="G52">
        <f>SUM(F52+F47)</f>
        <v>376.9218618</v>
      </c>
      <c r="N52" t="str">
        <v>Tarts Anon</v>
      </c>
      <c r="O52" xml:space="preserve">
        <f xml:space="preserve">SUMPRODUCT(--(ISNUMBER(SEARCH(N52, C:C))), B:B)
</f>
        <v>0</v>
      </c>
      <c r="Q52">
        <v>-1.84</v>
      </c>
      <c r="R52">
        <f>SUM(Q52*$R$21)</f>
        <v>1.84</v>
      </c>
    </row>
    <row r="53" xml:space="preserve">
      <c r="A53" t="str">
        <v>22/02/2026</v>
      </c>
      <c r="B53">
        <v>-9.1</v>
      </c>
      <c r="C53" t="str">
        <v>WWW.ALIEXPRESS.COM LONDON ## GBR MERCHANT</v>
      </c>
      <c r="D53" t="str">
        <v>t</v>
      </c>
      <c r="N53" t="str">
        <v>Migrant Coffee</v>
      </c>
      <c r="O53" xml:space="preserve">
        <f xml:space="preserve">SUMPRODUCT(--(ISNUMBER(SEARCH(N53, C:C))), B:B)
</f>
        <v>0</v>
      </c>
      <c r="Q53">
        <v>-43.99</v>
      </c>
      <c r="R53">
        <f>SUM(Q53*$R$21)</f>
        <v>43.99</v>
      </c>
    </row>
    <row r="54" xml:space="preserve">
      <c r="A54" t="str">
        <v>22/02/2026</v>
      </c>
      <c r="B54">
        <v>-131.75</v>
      </c>
      <c r="C54" t="str">
        <v>ZLR*Torissong Carlton AUS</v>
      </c>
      <c r="D54" t="str">
        <v>split</v>
      </c>
      <c r="F54" t="str">
        <v>OWING TO MACQBILL REMAINING</v>
      </c>
      <c r="I54">
        <v>283.83</v>
      </c>
      <c r="N54" t="str">
        <v>Oh Happy Day</v>
      </c>
      <c r="O54" xml:space="preserve">
        <f xml:space="preserve">SUMPRODUCT(--(ISNUMBER(SEARCH(N54, C:C))), B:B)
</f>
        <v>0</v>
      </c>
      <c r="Q54">
        <v>-79.27</v>
      </c>
      <c r="R54">
        <f>SUM(Q54*$R$21)</f>
        <v>79.27</v>
      </c>
    </row>
    <row r="55" xml:space="preserve">
      <c r="A55" t="str">
        <v>22/02/2026</v>
      </c>
      <c r="B55">
        <v>-6</v>
      </c>
      <c r="C55" t="str">
        <v>SQ *CHARRD Brunswick EaVI</v>
      </c>
      <c r="D55" t="str">
        <v>split</v>
      </c>
      <c r="F55">
        <v>325.80405</v>
      </c>
      <c r="G55" s="3" t="str">
        <v>LAST OUTSTANDING PAYMENT IN SEPT</v>
      </c>
      <c r="I55">
        <v>1355.97</v>
      </c>
      <c r="N55" t="str">
        <v>Gor</v>
      </c>
      <c r="O55" xml:space="preserve">
        <f xml:space="preserve">SUMPRODUCT(--(ISNUMBER(SEARCH(N55, C:C))), B:B)
</f>
        <v>0</v>
      </c>
      <c r="Q55">
        <v>-6.04</v>
      </c>
      <c r="R55">
        <f>SUM(Q55*$R$21)</f>
        <v>6.04</v>
      </c>
    </row>
    <row r="56" xml:space="preserve">
      <c r="A56" t="str">
        <v>22/02/2026</v>
      </c>
      <c r="B56">
        <v>-45</v>
      </c>
      <c r="C56" t="str">
        <v>SQ *CHARRD Brunswick EaVI</v>
      </c>
      <c r="D56" t="str">
        <v>split</v>
      </c>
      <c r="F56" t="str">
        <v>PAID in SEPT</v>
      </c>
      <c r="I56">
        <f>SUM(I54,I55)</f>
        <v>1639.8</v>
      </c>
      <c r="N56" t="str">
        <v>Sushi Hub</v>
      </c>
      <c r="O56" xml:space="preserve">
        <f xml:space="preserve">SUMPRODUCT(--(ISNUMBER(SEARCH(N56, C:C))), B:B)
</f>
        <v>0</v>
      </c>
      <c r="Q56">
        <v>-99.96</v>
      </c>
      <c r="R56">
        <f>SUM(Q56*$R$21)</f>
        <v>99.96</v>
      </c>
    </row>
    <row r="57" xml:space="preserve">
      <c r="A57" t="str">
        <v>22/02/2026</v>
      </c>
      <c r="B57">
        <v>-16.5</v>
      </c>
      <c r="C57" t="str">
        <v>WOOLWORTHS 3079 MARIBYRNONG VI</v>
      </c>
      <c r="D57" t="str">
        <v>macq</v>
      </c>
      <c r="F57">
        <f>SUM(B3,B4,B7,B11,B23,B27,B28,B33,B38,B42,B48,B49,B50,B56,B61,B69,B70,B71,B73,B76,B82,B85,B86,B94)</f>
        <v>-874.8</v>
      </c>
      <c r="G57" t="str">
        <v>eating out</v>
      </c>
      <c r="I57">
        <v>107.2</v>
      </c>
      <c r="N57" t="str">
        <v>Axil</v>
      </c>
      <c r="O57" xml:space="preserve">
        <f xml:space="preserve">SUMPRODUCT(--(ISNUMBER(SEARCH(N57, C:C))), B:B)
</f>
        <v>0</v>
      </c>
      <c r="Q57">
        <v>-79.96</v>
      </c>
      <c r="R57">
        <f>SUM(Q57*$R$21)</f>
        <v>79.96</v>
      </c>
    </row>
    <row r="58" xml:space="preserve">
      <c r="A58" t="str">
        <v>22/02/2026</v>
      </c>
      <c r="B58">
        <v>-19.73</v>
      </c>
      <c r="C58" t="str">
        <v>SQ *JASPER HIGHPOINT Maribyrnong VI</v>
      </c>
      <c r="D58" t="str">
        <v>t</v>
      </c>
      <c r="F58">
        <f>SUM(B9,B10,B13,B14,B17,B20,B26,B36,B43,B44,B47,B51,B55,B72,B74,B81,B83,B90,B99)</f>
        <v>-1164.33</v>
      </c>
      <c r="I58">
        <v>454.63</v>
      </c>
      <c r="N58">
        <v>520</v>
      </c>
      <c r="O58" xml:space="preserve">
        <f xml:space="preserve">SUMPRODUCT(--(ISNUMBER(SEARCH(N58, C:C))), B:B)
</f>
        <v>0</v>
      </c>
      <c r="Q58">
        <v>-12.99</v>
      </c>
      <c r="R58">
        <f>SUM(Q58*$R$21)</f>
        <v>12.99</v>
      </c>
    </row>
    <row r="59" xml:space="preserve">
      <c r="A59" t="str">
        <v>22/02/2026</v>
      </c>
      <c r="B59">
        <v>-21.45</v>
      </c>
      <c r="C59" t="str">
        <v>SP SMOOTHSALES CAULFIELD SOVIC</v>
      </c>
      <c r="D59" t="str">
        <v>t</v>
      </c>
      <c r="I59">
        <f>SUM(I57:I58)</f>
        <v>561.83</v>
      </c>
      <c r="J59">
        <f>SUM(I59,I60)</f>
        <v>1361.83</v>
      </c>
      <c r="N59">
        <v>273</v>
      </c>
      <c r="O59" xml:space="preserve">
        <f xml:space="preserve">SUMPRODUCT(--(ISNUMBER(SEARCH(N59, C:C))), B:B)
</f>
        <v>0</v>
      </c>
      <c r="Q59">
        <v>-12.15</v>
      </c>
      <c r="R59">
        <f>SUM(Q59*$R$21)</f>
        <v>12.15</v>
      </c>
    </row>
    <row r="60" xml:space="preserve">
      <c r="A60" t="str">
        <v>22/02/2026</v>
      </c>
      <c r="B60">
        <v>-20.9</v>
      </c>
      <c r="C60" t="str">
        <v>PAYPAL *KOGAN.COM 4029357733 AUS</v>
      </c>
      <c r="D60" t="str">
        <v>t</v>
      </c>
      <c r="I60">
        <v>800</v>
      </c>
      <c r="N60">
        <v>156</v>
      </c>
      <c r="O60" xml:space="preserve">
        <f xml:space="preserve">SUMPRODUCT(--(ISNUMBER(SEARCH(N60, C:C))), B:B)
</f>
        <v>0</v>
      </c>
      <c r="Q60">
        <v>-28.27</v>
      </c>
      <c r="R60">
        <f>SUM(Q60*$R$21)</f>
        <v>28.27</v>
      </c>
    </row>
    <row r="61">
      <c r="A61" t="str">
        <v>21/02/2026</v>
      </c>
      <c r="B61">
        <v>-12.91</v>
      </c>
      <c r="C61" t="str">
        <v>LITTLESPARROW B0526 MELBOURNE VI</v>
      </c>
      <c r="D61" t="str">
        <v>n</v>
      </c>
      <c r="F61" s="3">
        <v>3985.81261566</v>
      </c>
      <c r="I61">
        <v>1000</v>
      </c>
      <c r="N61">
        <f>SUM(N58:N60)</f>
        <v>949</v>
      </c>
      <c r="Q61">
        <v>-69.89</v>
      </c>
      <c r="R61">
        <f>SUM(Q61*$R$21)</f>
        <v>69.89</v>
      </c>
    </row>
    <row r="62">
      <c r="A62" t="str">
        <v>21/02/2026</v>
      </c>
      <c r="B62">
        <v>-66.25</v>
      </c>
      <c r="C62" t="str">
        <v>POP MART OCEANIA PTY L Sydney AUS</v>
      </c>
      <c r="D62" t="str">
        <v>split</v>
      </c>
      <c r="F62">
        <v>3652.5</v>
      </c>
      <c r="G62" s="3">
        <f>SUM(G16, G15, G17, G18)</f>
        <v>-4077.610317</v>
      </c>
      <c r="I62">
        <f>SUM(I56,I59:I61)</f>
        <v>4001.63</v>
      </c>
      <c r="Q62">
        <v>-1220.92</v>
      </c>
      <c r="R62">
        <f>SUM(Q62*$R$21)</f>
        <v>1220.92</v>
      </c>
    </row>
    <row r="63">
      <c r="A63" t="str">
        <v>21/02/2026</v>
      </c>
      <c r="B63">
        <v>-24.51</v>
      </c>
      <c r="C63" t="str">
        <v>SQ *MIGA KOREAN JEONGS Melbourne VI</v>
      </c>
      <c r="D63" t="str">
        <v>n</v>
      </c>
      <c r="E63" t="str">
        <v>INVESTIGATE</v>
      </c>
      <c r="F63" s="3">
        <f>SUM(F61-F62)</f>
        <v>333.3126157</v>
      </c>
      <c r="I63" s="2">
        <f>SUM(1361.83+283.83)</f>
        <v>1645.66</v>
      </c>
      <c r="Q63">
        <v>-32.68</v>
      </c>
      <c r="R63">
        <f>SUM(Q63*$R$21)</f>
        <v>32.68</v>
      </c>
    </row>
    <row r="64">
      <c r="A64" t="str">
        <v>21/02/2026</v>
      </c>
      <c r="B64">
        <v>-24.24</v>
      </c>
      <c r="C64" t="str">
        <v>SECURE PARKING THE STR MELBOURNE AUS</v>
      </c>
      <c r="D64" t="str">
        <v>n</v>
      </c>
      <c r="J64" s="3" t="str">
        <v>Latest Formula 9pm</v>
      </c>
      <c r="Q64">
        <v>-58.66</v>
      </c>
      <c r="R64">
        <f>SUM(Q64*$R$21)</f>
        <v>58.66</v>
      </c>
    </row>
    <row r="65">
      <c r="A65" t="str">
        <v>20/02/2026</v>
      </c>
      <c r="B65">
        <v>-23.42</v>
      </c>
      <c r="C65" t="str">
        <v>eBay O*08-14264-89602 Sydney AUS</v>
      </c>
      <c r="D65" t="str">
        <v>t</v>
      </c>
      <c r="F65">
        <v>325.8</v>
      </c>
      <c r="J65" s="3">
        <v>2417.8199999999983</v>
      </c>
      <c r="K65" t="str">
        <v>Tony's</v>
      </c>
      <c r="L65" s="3">
        <v>6861.38</v>
      </c>
      <c r="Q65">
        <v>6861.38</v>
      </c>
      <c r="R65">
        <f>SUM(Q65*$R$21)</f>
        <v>-6861.38</v>
      </c>
    </row>
    <row r="66">
      <c r="A66" t="str">
        <v>20/02/2026</v>
      </c>
      <c r="B66">
        <v>-22.22</v>
      </c>
      <c r="C66" t="str">
        <v>SECURE PARKING THE STR MELBOURNE AUS</v>
      </c>
      <c r="D66" t="str">
        <v>n</v>
      </c>
      <c r="I66" s="5" t="str">
        <v>+</v>
      </c>
      <c r="J66" s="3">
        <v>545.44</v>
      </c>
      <c r="K66" t="str">
        <v>Nugget's</v>
      </c>
      <c r="L66" s="3">
        <v>3395.9700000000003</v>
      </c>
      <c r="Q66">
        <v>-32.23</v>
      </c>
      <c r="R66">
        <f>SUM(Q66*$R$21)</f>
        <v>32.23</v>
      </c>
    </row>
    <row r="67">
      <c r="A67" t="str">
        <v>19/02/2026</v>
      </c>
      <c r="B67">
        <v>-19.47</v>
      </c>
      <c r="C67" t="str">
        <v>CWH DOCKLANDS DOCKLANDS VIC</v>
      </c>
      <c r="D67" t="str">
        <v>t</v>
      </c>
      <c r="F67" t="str">
        <v>1.5k (500 downsairs) took 200 for vinnies kid</v>
      </c>
      <c r="I67" s="5" t="str">
        <v>+</v>
      </c>
      <c r="J67" s="3">
        <v>502.15</v>
      </c>
      <c r="K67" t="str">
        <v>Macquerie's Over $800 excess</v>
      </c>
      <c r="L67" s="3">
        <v>3465.4099999999985</v>
      </c>
      <c r="Q67">
        <v>-7</v>
      </c>
      <c r="R67">
        <f>SUM(Q67*$R$21)</f>
        <v>7</v>
      </c>
    </row>
    <row r="68">
      <c r="A68" t="str">
        <v>19/02/2026</v>
      </c>
      <c r="B68">
        <v>-13.32</v>
      </c>
      <c r="C68" t="str">
        <v>TDD Parking East Docklands VIC</v>
      </c>
      <c r="D68" t="str">
        <v>t</v>
      </c>
      <c r="F68" t="str">
        <v>tony paid vinnies' -200 (2.3)</v>
      </c>
      <c r="J68" s="3">
        <v>3465.4099999999985</v>
      </c>
      <c r="K68" t="str">
        <v>Total to Pay</v>
      </c>
      <c r="L68" s="3">
        <v>6861.379999999999</v>
      </c>
      <c r="Q68">
        <v>-13.99</v>
      </c>
      <c r="R68">
        <f>SUM(Q68*$R$21)</f>
        <v>13.99</v>
      </c>
    </row>
    <row r="69">
      <c r="A69" t="str">
        <v>19/02/2026</v>
      </c>
      <c r="B69">
        <v>-8.75</v>
      </c>
      <c r="C69" t="str">
        <v>WOOLWORTHS 3779 DOCKLANDS VI</v>
      </c>
      <c r="D69" t="str">
        <v>t</v>
      </c>
      <c r="F69" t="str">
        <v>AS OF 11/23/2025</v>
      </c>
      <c r="J69" s="6">
        <v>800</v>
      </c>
      <c r="K69" t="str">
        <v>Macq</v>
      </c>
      <c r="Q69">
        <v>-78.5</v>
      </c>
      <c r="R69">
        <f>SUM(Q69*$R$21)</f>
        <v>78.5</v>
      </c>
    </row>
    <row r="70">
      <c r="A70" t="str">
        <v>19/02/2026</v>
      </c>
      <c r="B70">
        <v>-17.07</v>
      </c>
      <c r="C70" t="str">
        <v>Urban Street Kitchen Docklands VIC</v>
      </c>
      <c r="D70" t="str">
        <v>t</v>
      </c>
      <c r="F70" t="str">
        <v>macqbill owes tony 2.5</v>
      </c>
      <c r="J70" s="3">
        <v>564.49</v>
      </c>
      <c r="K70" t="str">
        <v>Macbill</v>
      </c>
      <c r="L70" s="3">
        <v>1364.49</v>
      </c>
      <c r="Q70">
        <v>-33.2</v>
      </c>
      <c r="R70">
        <f>SUM(Q70*$R$21)</f>
        <v>33.2</v>
      </c>
    </row>
    <row r="71">
      <c r="A71" t="str">
        <v>19/02/2026</v>
      </c>
      <c r="B71">
        <v>-6.4</v>
      </c>
      <c r="C71" t="str">
        <v>Tukk &amp; Co. Docklands VIC</v>
      </c>
      <c r="D71" t="str">
        <v>t</v>
      </c>
      <c r="F71" t="str">
        <v>macqbill owes tony 2.3</v>
      </c>
      <c r="J71" s="3">
        <v>2031.48</v>
      </c>
      <c r="K71" t="str">
        <v>Harvey Stuff</v>
      </c>
      <c r="Q71">
        <v>-85.29</v>
      </c>
      <c r="R71">
        <f>SUM(Q71*$R$21)</f>
        <v>85.29</v>
      </c>
    </row>
    <row r="72">
      <c r="A72" t="str">
        <v>19/02/2026</v>
      </c>
      <c r="B72">
        <v>-5.89</v>
      </c>
      <c r="C72" t="str">
        <v>EasyPark PRAHRAN AUS</v>
      </c>
      <c r="D72" t="str">
        <v>t</v>
      </c>
      <c r="F72" s="3" t="str">
        <v>Macbill owes tony $1178</v>
      </c>
      <c r="J72" s="3">
        <v>4.649999999998599</v>
      </c>
      <c r="K72" t="str">
        <v>Remaining</v>
      </c>
      <c r="Q72">
        <v>-36.5</v>
      </c>
      <c r="R72">
        <f>SUM(Q72*$R$21)</f>
        <v>36.5</v>
      </c>
    </row>
    <row r="73">
      <c r="A73" t="str">
        <v>18/02/2026</v>
      </c>
      <c r="B73">
        <v>-58.79</v>
      </c>
      <c r="C73" t="str">
        <v>ALDI STORES WEST FOOTSCR</v>
      </c>
      <c r="D73" t="str">
        <v>macq</v>
      </c>
      <c r="F73" s="3" t="str">
        <v>Nugs owe macbill $561</v>
      </c>
      <c r="Q73">
        <v>-100</v>
      </c>
      <c r="R73">
        <f>SUM(Q73*$R$21)</f>
        <v>100</v>
      </c>
    </row>
    <row r="74">
      <c r="A74" t="str">
        <v>18/02/2026</v>
      </c>
      <c r="B74">
        <v>-41.9</v>
      </c>
      <c r="C74" t="str">
        <v>McDonalds 950055 SUNSHINE AUS</v>
      </c>
      <c r="D74" t="str">
        <v>macq</v>
      </c>
      <c r="Q74">
        <v>-28.55</v>
      </c>
      <c r="R74">
        <f>SUM(Q74*$R$21)</f>
        <v>28.55</v>
      </c>
    </row>
    <row r="75">
      <c r="A75" t="str">
        <v>18/02/2026</v>
      </c>
      <c r="B75">
        <v>-15.99</v>
      </c>
      <c r="C75" t="str">
        <v>PAYPAL *DISNEYPLUS 4029357733 AUS</v>
      </c>
      <c r="D75" t="str">
        <v>macqbill</v>
      </c>
      <c r="F75" t="str">
        <v>Nugs owe macbill $311 as of 22/01/2025</v>
      </c>
      <c r="G75">
        <f>SUM(561-250)</f>
        <v>311</v>
      </c>
      <c r="Q75">
        <v>-117.74</v>
      </c>
      <c r="R75">
        <f>SUM(Q75*$R$21)</f>
        <v>117.74</v>
      </c>
    </row>
    <row r="76">
      <c r="A76" t="str">
        <v>17/02/2026</v>
      </c>
      <c r="B76">
        <v>-22.22</v>
      </c>
      <c r="C76" t="str">
        <v>SECURE PARKING THE STR MELBOURNE AUS</v>
      </c>
      <c r="D76" t="str">
        <v>n</v>
      </c>
      <c r="F76" t="str">
        <v xml:space="preserve">Jan bill &gt; Nugs to add 155.5 to "Japan" </v>
      </c>
      <c r="G76">
        <v>155.5</v>
      </c>
      <c r="Q76">
        <v>-28</v>
      </c>
      <c r="R76">
        <f>SUM(Q76*$R$21)</f>
        <v>28</v>
      </c>
    </row>
    <row r="77">
      <c r="A77" t="str">
        <v>17/02/2026</v>
      </c>
      <c r="B77">
        <v>-141.98</v>
      </c>
      <c r="C77" t="str">
        <v>MYPROTEIN ALTRINCHAM ENG ## GBR MERCHANT</v>
      </c>
      <c r="D77" t="str">
        <v>t</v>
      </c>
      <c r="F77" t="str">
        <v xml:space="preserve">Feb bill &gt; Nugs to add 155.5 to "Japan" </v>
      </c>
      <c r="G77">
        <v>155.5</v>
      </c>
      <c r="Q77">
        <v>-1.91</v>
      </c>
      <c r="R77">
        <f>SUM(Q77*$R$21)</f>
        <v>1.91</v>
      </c>
    </row>
    <row r="78">
      <c r="A78" t="str">
        <v>17/02/2026</v>
      </c>
      <c r="B78">
        <v>-3.3</v>
      </c>
      <c r="C78" t="str">
        <v>EasyPark PRAHRAN AUS</v>
      </c>
      <c r="D78" t="str">
        <v>t</v>
      </c>
      <c r="Q78">
        <v>-1.03</v>
      </c>
      <c r="R78">
        <f>SUM(Q78*$R$21)</f>
        <v>1.03</v>
      </c>
    </row>
    <row r="79">
      <c r="A79" t="str">
        <v>16/02/2026</v>
      </c>
      <c r="B79">
        <v>-277.51</v>
      </c>
      <c r="C79" t="str">
        <v>ZLR*Supernormal Melbourne AUS</v>
      </c>
      <c r="D79" t="str">
        <v>n</v>
      </c>
      <c r="Q79">
        <v>-0.49</v>
      </c>
      <c r="R79">
        <f>SUM(Q79*$R$21)</f>
        <v>0.49</v>
      </c>
    </row>
    <row r="80">
      <c r="A80" t="str">
        <v>16/02/2026</v>
      </c>
      <c r="B80">
        <v>-26.51</v>
      </c>
      <c r="C80" t="str">
        <v>ALDI STORES WEST FOOTSCR</v>
      </c>
      <c r="D80" t="str">
        <v>macq</v>
      </c>
      <c r="Q80">
        <v>-37.5</v>
      </c>
      <c r="R80">
        <f>SUM(Q80*$R$21)</f>
        <v>37.5</v>
      </c>
    </row>
    <row r="81">
      <c r="A81" t="str">
        <v>16/02/2026</v>
      </c>
      <c r="B81">
        <v>-32.44</v>
      </c>
      <c r="C81" t="str">
        <v>WILSON PARKING MEL169 MELBOURNE VIC</v>
      </c>
      <c r="D81" t="str">
        <v>n</v>
      </c>
      <c r="Q81">
        <v>-16.82</v>
      </c>
      <c r="R81">
        <f>SUM(Q81*$R$21)</f>
        <v>16.82</v>
      </c>
    </row>
    <row r="82">
      <c r="A82" t="str">
        <v>16/02/2026</v>
      </c>
      <c r="B82">
        <v>-59.77</v>
      </c>
      <c r="C82" t="str">
        <v>SQ *PALETTE. North MelbouVI</v>
      </c>
      <c r="D82" t="str">
        <v>n</v>
      </c>
      <c r="Q82">
        <v>-99.2</v>
      </c>
      <c r="R82">
        <f>SUM(Q82*$R$21)</f>
        <v>99.2</v>
      </c>
    </row>
    <row r="83">
      <c r="A83" t="str">
        <v>16/02/2026</v>
      </c>
      <c r="B83">
        <v>-9.79</v>
      </c>
      <c r="C83" t="str">
        <v>MAGIC MONKEI ITAPEMA, MEISC ##0226 6.89 US DOLLAR</v>
      </c>
      <c r="D83" t="str">
        <v>t</v>
      </c>
      <c r="Q83">
        <v>-66</v>
      </c>
      <c r="R83">
        <f>SUM(Q83*$R$21)</f>
        <v>66</v>
      </c>
    </row>
    <row r="84">
      <c r="A84" t="str">
        <v>16/02/2026</v>
      </c>
      <c r="B84">
        <v>-65</v>
      </c>
      <c r="C84" t="str">
        <v>Superloop Limited BRISBANE AUS</v>
      </c>
      <c r="D84" t="str">
        <v>macqbill</v>
      </c>
    </row>
    <row r="85">
      <c r="A85" t="str">
        <v>15/02/2026</v>
      </c>
      <c r="B85">
        <v>-24.24</v>
      </c>
      <c r="C85" t="str">
        <v>SECURE PARKING THE STR MELBOURNE AUS</v>
      </c>
      <c r="D85" t="str">
        <v>n</v>
      </c>
    </row>
    <row r="86">
      <c r="A86" t="str">
        <v>15/02/2026</v>
      </c>
      <c r="B86">
        <v>-10.83</v>
      </c>
      <c r="C86" t="str">
        <v>LITTLESPARROW B0526 MELBOURNE VI</v>
      </c>
      <c r="D86" t="str">
        <v>n</v>
      </c>
      <c r="F86">
        <v>1090</v>
      </c>
    </row>
    <row r="87">
      <c r="A87" t="str">
        <v>15/02/2026</v>
      </c>
      <c r="B87">
        <v>-116.9</v>
      </c>
      <c r="C87" t="str">
        <v>Beauty Genesis Melbourne VIC</v>
      </c>
      <c r="D87" t="str">
        <v>n</v>
      </c>
    </row>
    <row r="88">
      <c r="A88" t="str">
        <v>15/02/2026</v>
      </c>
      <c r="B88" s="7">
        <v>-98</v>
      </c>
      <c r="C88" t="str">
        <v>gu health rewards GK CAMBERWELL AUS</v>
      </c>
      <c r="D88" t="str">
        <v>t</v>
      </c>
    </row>
    <row r="89">
      <c r="A89" t="str">
        <v>14/02/2026</v>
      </c>
      <c r="B89">
        <v>-98</v>
      </c>
      <c r="C89" t="str">
        <v>gu health rewards GT CAMBERWELL AUS</v>
      </c>
      <c r="D89" t="str">
        <v>t</v>
      </c>
      <c r="G89">
        <v>399.96</v>
      </c>
      <c r="H89">
        <v>266.64</v>
      </c>
      <c r="I89">
        <f>SUM(G89-H89)</f>
        <v>133.32</v>
      </c>
      <c r="J89" t="str">
        <v>extra money from the $200</v>
      </c>
    </row>
    <row r="90">
      <c r="A90" t="str">
        <v>14/02/2026</v>
      </c>
      <c r="B90">
        <v>-24.24</v>
      </c>
      <c r="C90" t="str">
        <v>SECURE PARKING THE STR MELBOURNE AUS</v>
      </c>
      <c r="D90" t="str">
        <v>n</v>
      </c>
      <c r="G90">
        <v>199.98</v>
      </c>
      <c r="H90">
        <v>133.32</v>
      </c>
      <c r="I90">
        <f>SUM(G90-H90)</f>
        <v>66.66</v>
      </c>
    </row>
    <row r="91">
      <c r="A91" t="str">
        <v>13/02/2026</v>
      </c>
      <c r="B91">
        <v>-22.76</v>
      </c>
      <c r="C91" t="str">
        <v>Tukk &amp; Co. Docklands VIC</v>
      </c>
      <c r="D91" t="str">
        <v>t</v>
      </c>
    </row>
    <row r="92">
      <c r="A92" t="str">
        <v>13/02/2026</v>
      </c>
      <c r="B92">
        <v>-12.82</v>
      </c>
      <c r="C92" t="str">
        <v>Boost Juice Melbourne MELBOURNE</v>
      </c>
      <c r="D92" t="str">
        <v>n</v>
      </c>
    </row>
    <row r="93">
      <c r="A93" t="str">
        <v>13/02/2026</v>
      </c>
      <c r="B93">
        <v>-13.32</v>
      </c>
      <c r="C93" t="str">
        <v>TDD Parking East Docklands VIC</v>
      </c>
      <c r="D93" t="str">
        <v>t</v>
      </c>
    </row>
    <row r="94">
      <c r="A94" s="1">
        <v>46358</v>
      </c>
      <c r="B94">
        <v>-41.4</v>
      </c>
      <c r="C94" t="str">
        <v>COLES 7691 BRAYBROOK 03</v>
      </c>
      <c r="D94" t="str">
        <v>macq</v>
      </c>
    </row>
    <row r="95">
      <c r="A95" s="1">
        <v>46358</v>
      </c>
      <c r="B95">
        <v>-21.37</v>
      </c>
      <c r="C95" t="str">
        <v>ASIAN FOOD STORE BRAYBROOK</v>
      </c>
      <c r="D95" t="str">
        <v>macq</v>
      </c>
    </row>
    <row r="96">
      <c r="A96" s="1">
        <v>46358</v>
      </c>
      <c r="B96">
        <v>-2.45</v>
      </c>
      <c r="C96" t="str">
        <v>EasyPark PRAHRAN AUS</v>
      </c>
      <c r="D96" t="str">
        <v>t</v>
      </c>
    </row>
    <row r="97">
      <c r="A97" s="1">
        <v>46328</v>
      </c>
      <c r="B97">
        <v>-6.93</v>
      </c>
      <c r="C97" t="str">
        <v>EasyPark PRAHRAN AUS</v>
      </c>
      <c r="D97" t="str">
        <v>t</v>
      </c>
      <c r="G97" s="3">
        <v>6253.47</v>
      </c>
    </row>
    <row r="98">
      <c r="A98" s="1">
        <v>46328</v>
      </c>
      <c r="B98">
        <v>-2</v>
      </c>
      <c r="C98" t="str">
        <v>OFFICEWORKS 0305 MARIBYRNONG 03</v>
      </c>
      <c r="D98" t="str">
        <v>t</v>
      </c>
      <c r="G98" t="str">
        <v/>
      </c>
      <c r="H98">
        <f>SUM(545*12)</f>
        <v>6540</v>
      </c>
    </row>
    <row r="99">
      <c r="A99" s="1">
        <v>46328</v>
      </c>
      <c r="B99">
        <v>-4.49</v>
      </c>
      <c r="C99" t="str">
        <v>PAYPAL *APPLE.COM/BILL 4029357733 AUS</v>
      </c>
      <c r="D99" t="str">
        <v>t</v>
      </c>
      <c r="G99" s="4" t="str">
        <v>Havies Distributed</v>
      </c>
      <c r="H99">
        <f>SUM(250*2)*12</f>
        <v>6000</v>
      </c>
    </row>
    <row r="100">
      <c r="A100" s="1">
        <v>46328</v>
      </c>
      <c r="B100">
        <v>-59.97</v>
      </c>
      <c r="C100" t="str">
        <v>FOREVER NEW CLOTHING P ESSENDON FIE</v>
      </c>
      <c r="D100" t="str">
        <v>n</v>
      </c>
      <c r="G100" s="3">
        <v>371.18499999999983</v>
      </c>
      <c r="H100">
        <f>SUM(H98:H99)</f>
        <v>12540</v>
      </c>
    </row>
    <row r="101">
      <c r="A101" s="1">
        <v>46328</v>
      </c>
      <c r="C101" t="str">
        <v>PAYPAL *SELLEROYALG 0444461100 ITA ##0226 159.00 EURO NATL CURR UNI</v>
      </c>
      <c r="D101" t="str">
        <v>p</v>
      </c>
    </row>
    <row r="102">
      <c r="A102" s="1">
        <v>46328</v>
      </c>
      <c r="C102" t="str">
        <v>PAYPAL *SELLEROYALG 0444461100 ITA ##0226 127.20 EURO NATL CURR UNI</v>
      </c>
      <c r="D102" t="str">
        <v>p</v>
      </c>
      <c r="G102" s="4" t="str">
        <v>TOTAL</v>
      </c>
    </row>
    <row r="103">
      <c r="A103" s="2">
        <v>46297</v>
      </c>
      <c r="B103">
        <v>-22.22</v>
      </c>
      <c r="C103" t="str">
        <v>SECURE PARKING THE STR MELBOURNE AUS</v>
      </c>
      <c r="D103" t="str">
        <v>n</v>
      </c>
      <c r="G103" s="3">
        <v>-3577.3350765599994</v>
      </c>
    </row>
    <row r="104">
      <c r="F104">
        <f>SUM(3557-545)</f>
        <v>3012</v>
      </c>
      <c r="G104" s="3">
        <v>-1460.10253828</v>
      </c>
    </row>
    <row r="105">
      <c r="G105" s="3">
        <v>-800</v>
      </c>
    </row>
    <row r="106">
      <c r="G106" s="3">
        <v>-436.03000000000003</v>
      </c>
    </row>
    <row r="107">
      <c r="F107">
        <f>(169*12)</f>
        <v>2028</v>
      </c>
    </row>
    <row r="108"/>
    <row r="109">
      <c r="G109" s="3">
        <f>SUM(G103:G106)</f>
        <v>-6273.467615</v>
      </c>
    </row>
    <row r="110"/>
    <row r="111">
      <c r="F111" s="3">
        <v>482.53</v>
      </c>
      <c r="G111" t="str">
        <v>Tonys credit</v>
      </c>
    </row>
    <row r="112">
      <c r="H112" s="3">
        <v>157.495</v>
      </c>
      <c r="I112" s="3">
        <f>SUM(H112,H113)</f>
        <v>262.4906167</v>
      </c>
    </row>
    <row r="113">
      <c r="F113" s="3">
        <v>157.495</v>
      </c>
      <c r="G113" t="str">
        <v>tony/nugs</v>
      </c>
      <c r="H113" s="3">
        <v>104.99561670000001</v>
      </c>
      <c r="I113" t="str">
        <v>tonys pay</v>
      </c>
      <c r="J113">
        <v>-314.99</v>
      </c>
    </row>
    <row r="114">
      <c r="F114" s="3">
        <v>157.495</v>
      </c>
      <c r="G114" t="str">
        <v>jon/nina</v>
      </c>
      <c r="H114" s="3">
        <v>52.49780835000001</v>
      </c>
      <c r="I114" t="str">
        <v>Nugs</v>
      </c>
    </row>
    <row r="115"/>
    <row r="116">
      <c r="F116" s="3">
        <f>SUM(F111-H113-F114)</f>
        <v>220.0393833</v>
      </c>
    </row>
    <row r="117"/>
    <row r="118"/>
    <row r="119"/>
    <row r="120"/>
    <row r="121"/>
    <row r="122">
      <c r="F122">
        <v>-314.99</v>
      </c>
    </row>
    <row r="123"/>
    <row r="124">
      <c r="G124" s="3">
        <v>6253.47</v>
      </c>
    </row>
    <row r="125">
      <c r="G125" s="3">
        <f>SUM(G124-399)</f>
        <v>5854.47</v>
      </c>
    </row>
    <row r="126"/>
    <row r="127"/>
    <row r="128"/>
    <row r="129"/>
    <row r="130"/>
    <row r="131"/>
    <row r="132">
      <c r="F132">
        <v>25.119999999999997</v>
      </c>
    </row>
    <row r="133">
      <c r="F133">
        <v>40.4</v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</sheetData>
  <mergeCells count="7">
    <mergeCell ref="F1:G1"/>
    <mergeCell ref="J11:K11"/>
    <mergeCell ref="J20:L20"/>
    <mergeCell ref="N20:P20"/>
    <mergeCell ref="A47:B47"/>
    <mergeCell ref="F56:G56"/>
    <mergeCell ref="J64:K64"/>
  </mergeCells>
  <ignoredErrors>
    <ignoredError numberStoredAsText="1" sqref="A1:R1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54"/>
  <sheetViews>
    <sheetView workbookViewId="0" rightToLeft="0"/>
  </sheetViews>
  <cols>
    <col min="3" max="3" customWidth="1" width="70"/>
  </cols>
  <sheetData>
    <row r="1">
      <c r="A1" s="1">
        <v>46359</v>
      </c>
      <c r="B1">
        <v>-35</v>
      </c>
      <c r="C1" t="str">
        <v>MONTHLY FEE</v>
      </c>
      <c r="D1" t="str">
        <v>macqbill</v>
      </c>
      <c r="F1" t="str">
        <v>AT A GLANCE</v>
      </c>
      <c r="J1" t="str">
        <v>Split Pay (extra chipins)</v>
      </c>
      <c r="M1" t="str">
        <v>Halvies from our personal</v>
      </c>
      <c r="N1" t="str">
        <v>Tonys Rebates</v>
      </c>
      <c r="O1" t="str">
        <v>Nugs Rebate</v>
      </c>
      <c r="Q1" t="str">
        <v>Extra Costs</v>
      </c>
    </row>
    <row r="2">
      <c r="A2" s="2">
        <v>46359</v>
      </c>
      <c r="B2">
        <v>-5.8</v>
      </c>
      <c r="C2" t="str">
        <v>EasyPark PRAHRAN AUS</v>
      </c>
      <c r="D2" t="str">
        <v>t</v>
      </c>
      <c r="F2" s="3">
        <f>SUMIF(D:D, "t", B:B)+Q3+Q4+N3+N2</f>
        <v>-1517.14</v>
      </c>
      <c r="G2" t="str">
        <v>Tony's Owing</v>
      </c>
      <c r="H2" s="3">
        <f>SUM(G17,G18)</f>
        <v>-1279.69</v>
      </c>
      <c r="J2" t="str">
        <v>Tony</v>
      </c>
      <c r="K2" t="str">
        <v>Nugs</v>
      </c>
      <c r="M2" s="3" t="str">
        <f>V2</f>
        <v/>
      </c>
      <c r="N2" s="3">
        <f>SUMIF(D:D, "cashback", B:B)/2</f>
        <v>0</v>
      </c>
      <c r="O2" s="3">
        <f>SUMIF(D:D, "cashback", B:B)/2</f>
        <v>0</v>
      </c>
      <c r="Q2" t="str">
        <v>Tony</v>
      </c>
      <c r="R2" t="str">
        <v>Nugs</v>
      </c>
    </row>
    <row r="3">
      <c r="A3" s="2">
        <v>46298</v>
      </c>
      <c r="B3">
        <v>-26.39</v>
      </c>
      <c r="C3" t="str">
        <v>THAI SOCIAL EMPORIUM BENTLEIGH VIC</v>
      </c>
      <c r="D3" t="str">
        <v>n</v>
      </c>
      <c r="F3" s="3">
        <f>SUMIF(D:D, "n", B:B)+R3+R4+O3+O2</f>
        <v>-1597.51</v>
      </c>
      <c r="G3" t="str">
        <v>Nug's Owing</v>
      </c>
      <c r="J3" s="3">
        <f>SUM(Q3+N3:N13+Q4)</f>
        <v>0</v>
      </c>
      <c r="K3" s="3">
        <f>SUM(R3+O3:O13+R4)</f>
        <v>0</v>
      </c>
      <c r="N3" s="3">
        <f>SUMIF(D:D, "tr", B:B)</f>
        <v>0</v>
      </c>
      <c r="O3" s="3">
        <f>SUMIF(D:D, "nr", B:B)</f>
        <v>0</v>
      </c>
      <c r="Q3" s="3">
        <f>SUM(T2:T13,V2*0.666666)</f>
        <v>0</v>
      </c>
      <c r="R3" s="3">
        <f>SUM(U2:U13,V2)*0.333333</f>
        <v>0</v>
      </c>
    </row>
    <row r="4">
      <c r="A4" s="2">
        <v>46268</v>
      </c>
      <c r="B4">
        <v>-5</v>
      </c>
      <c r="C4" t="str">
        <v>Department of Transpor MELBOURNE</v>
      </c>
      <c r="D4" t="str">
        <v>n</v>
      </c>
      <c r="F4" s="3">
        <f>SUMIF(D:D, "macq", B:B)+O4+O3</f>
        <v>-483.27</v>
      </c>
      <c r="G4" t="str">
        <v>Macquerie's Owing</v>
      </c>
      <c r="Q4" s="3">
        <f>R13</f>
        <v>0</v>
      </c>
      <c r="R4" s="3" t="str">
        <f>S13</f>
        <v/>
      </c>
    </row>
    <row r="5">
      <c r="A5" s="2">
        <v>46268</v>
      </c>
      <c r="B5">
        <v>-19.15</v>
      </c>
      <c r="C5" t="str">
        <v>Kindle Svcs*BP73U5LU1 SEATTLE WA ##0326 13.35 US DOLLAR</v>
      </c>
      <c r="D5" t="str">
        <v>n</v>
      </c>
      <c r="F5" s="3">
        <f>SUMIF(D:D, "macqbill", B:B)+R5+O5+O4</f>
        <v>-479.69</v>
      </c>
      <c r="G5" t="str">
        <v>Macquerie's Billing Owing</v>
      </c>
    </row>
    <row r="6">
      <c r="A6" s="2">
        <v>46268</v>
      </c>
      <c r="B6">
        <v>-12.13</v>
      </c>
      <c r="C6" t="str">
        <v>Kindle Svcs*BP66T0YG2 SEATTLE WA ##0326 8.46 US DOLLAR</v>
      </c>
      <c r="D6" t="str">
        <v>n</v>
      </c>
      <c r="F6" s="3">
        <f>SUMIF(D:D, "t", B:B)+Q3</f>
        <v>-1517.14</v>
      </c>
      <c r="G6" t="str">
        <v>Tony's Owing</v>
      </c>
    </row>
    <row r="7">
      <c r="A7" s="2">
        <v>46268</v>
      </c>
      <c r="B7">
        <v>-93.08</v>
      </c>
      <c r="C7" t="str">
        <v>Superloop Limited BRISBANE AUS</v>
      </c>
      <c r="D7" t="str">
        <v>macqbill</v>
      </c>
      <c r="F7" s="3">
        <f>SUMIF(D:D, "n", B:B)+R3</f>
        <v>-1597.51</v>
      </c>
      <c r="G7" t="str">
        <v>Nug's Owing</v>
      </c>
    </row>
    <row r="8">
      <c r="A8" s="2">
        <v>46268</v>
      </c>
      <c r="B8">
        <v>19.15</v>
      </c>
      <c r="C8" t="str">
        <v>Kindle Svcs SEATTLE WA ##0326 13.35 US DOLLAR</v>
      </c>
      <c r="D8" t="str">
        <v>n</v>
      </c>
      <c r="F8" s="3">
        <f>SUMIF(D:D, "macq", B:B)+S3</f>
        <v>-483.27</v>
      </c>
      <c r="G8" t="str">
        <v>Macquerie's Owing</v>
      </c>
    </row>
    <row r="9">
      <c r="A9" s="2">
        <v>46268</v>
      </c>
      <c r="B9">
        <v>12.13</v>
      </c>
      <c r="C9" t="str">
        <v>Kindle Svcs SEATTLE WA ##0326 8.46 US DOLLAR</v>
      </c>
      <c r="D9" t="str">
        <v>n</v>
      </c>
      <c r="F9" t="str">
        <v>Macq' Balance</v>
      </c>
      <c r="G9" s="3">
        <v>4356.07</v>
      </c>
      <c r="H9" t="str">
        <v>&lt;-- Enter CC total. If green, good. If red, bad.</v>
      </c>
    </row>
    <row r="10">
      <c r="A10" s="2">
        <v>46206</v>
      </c>
      <c r="B10">
        <v>-22.95</v>
      </c>
      <c r="C10" t="str">
        <v>KFC Sunshine Sunshine AUS</v>
      </c>
      <c r="D10" t="str">
        <v>macq</v>
      </c>
      <c r="F10" s="3">
        <v>-800</v>
      </c>
      <c r="G10" s="3">
        <f>IF(F12&gt;=0, F4, "")</f>
        <v>-483.27</v>
      </c>
      <c r="H10">
        <v>6786.19</v>
      </c>
      <c r="I10" t="str">
        <v>-</v>
      </c>
    </row>
    <row r="11">
      <c r="A11" s="2">
        <v>46206</v>
      </c>
      <c r="B11">
        <v>-1.74</v>
      </c>
      <c r="C11" t="str">
        <v>COLES 7770 FOOTSCRAY 03</v>
      </c>
      <c r="D11" t="str">
        <v>t</v>
      </c>
      <c r="F11" t="str">
        <v>Macquerie Excess</v>
      </c>
      <c r="G11" s="4" t="str">
        <v>Havies Distributed</v>
      </c>
      <c r="J11" t="str">
        <v>AT A GLANCE</v>
      </c>
    </row>
    <row r="12">
      <c r="A12" s="2">
        <v>46206</v>
      </c>
      <c r="B12">
        <v>-17.32</v>
      </c>
      <c r="C12" t="str">
        <v>SQ *OLD MAN PHO EMPORI Melbourne VI</v>
      </c>
      <c r="D12" t="str">
        <v>n</v>
      </c>
      <c r="F12" s="3">
        <f>SUM(F10-F4)*-1</f>
        <v>316.73</v>
      </c>
      <c r="G12" s="3">
        <f>IF(F12&gt;=0, 0, F12/2)*-1</f>
        <v>0</v>
      </c>
      <c r="J12" s="3">
        <f>SUM(847.935+244.25)</f>
        <v>1092.185</v>
      </c>
      <c r="K12" t="str">
        <v>Tony's Owing</v>
      </c>
      <c r="Q12" t="str">
        <v>Tony 2:1 Nugs</v>
      </c>
      <c r="R12" t="str">
        <v>Tony</v>
      </c>
    </row>
    <row r="13">
      <c r="A13" s="2">
        <v>46206</v>
      </c>
      <c r="B13">
        <v>-22.22</v>
      </c>
      <c r="C13" t="str">
        <v>SECURE PARKING THE STR MELBOURNE AUS</v>
      </c>
      <c r="D13" t="str">
        <v>n</v>
      </c>
      <c r="J13" s="3">
        <v>858.4549999999999</v>
      </c>
      <c r="K13" t="str">
        <v>Nug's Owing</v>
      </c>
      <c r="Q13">
        <f>SUMIF(D:D, "Tony66", B:B)</f>
        <v>0</v>
      </c>
      <c r="R13" s="4">
        <f>SUM(Q13*0.75)</f>
        <v>0</v>
      </c>
    </row>
    <row r="14">
      <c r="A14" s="2">
        <v>46176</v>
      </c>
      <c r="B14">
        <v>-91.49</v>
      </c>
      <c r="C14" t="str">
        <v>Beauty Genesis Melbourne VIC</v>
      </c>
      <c r="D14" t="str">
        <v>n</v>
      </c>
      <c r="G14" s="4" t="str">
        <v>TOTAL</v>
      </c>
      <c r="H14" s="3">
        <f>SUM(G15:G18)</f>
        <v>-4077.610317</v>
      </c>
      <c r="I14" s="3">
        <f>SUM(G17,G18)</f>
        <v>-1279.69</v>
      </c>
      <c r="J14" s="3">
        <v>800</v>
      </c>
      <c r="K14" t="str">
        <v>Macquerie's Owing</v>
      </c>
    </row>
    <row r="15">
      <c r="A15" s="2">
        <v>46176</v>
      </c>
      <c r="B15">
        <v>-15.83</v>
      </c>
      <c r="C15" t="str">
        <v>BABA RICH CATERING PT Melbourne VIC</v>
      </c>
      <c r="D15" t="str">
        <v>n</v>
      </c>
      <c r="F15" t="str">
        <v>Tony:</v>
      </c>
      <c r="G15" s="3">
        <f>SUM(F2,G27)</f>
        <v>-1305.986878</v>
      </c>
      <c r="H15" s="3">
        <f>SUM(F6)</f>
        <v>-1517.14</v>
      </c>
      <c r="J15" s="3">
        <v>467.46</v>
      </c>
      <c r="K15" t="str">
        <v>Macquerie's Billing Owing</v>
      </c>
    </row>
    <row r="16">
      <c r="A16" s="2">
        <v>46176</v>
      </c>
      <c r="B16">
        <v>-20.2</v>
      </c>
      <c r="C16" t="str">
        <v>SECURE PARKING THE STR MELBOURNE AUS</v>
      </c>
      <c r="D16" t="str">
        <v>n</v>
      </c>
      <c r="F16" t="str">
        <v>Nugs:</v>
      </c>
      <c r="G16" s="3">
        <f>SUM(F3,F27)</f>
        <v>-1491.933439</v>
      </c>
      <c r="H16" s="3">
        <f>SUM(F7)</f>
        <v>-1597.51</v>
      </c>
    </row>
    <row r="17">
      <c r="A17" s="2">
        <v>46176</v>
      </c>
      <c r="B17">
        <v>-164.52</v>
      </c>
      <c r="C17" t="str">
        <v>WWW.ALIEXPRESS.COM LONDON ## GBR MERCHANT</v>
      </c>
      <c r="D17" t="str">
        <v>t</v>
      </c>
      <c r="F17" t="str">
        <v>Macq:</v>
      </c>
      <c r="G17" s="3">
        <f>SUM(F4-F12)</f>
        <v>-800</v>
      </c>
      <c r="H17" s="3">
        <f>SUM(F8)</f>
        <v>-483.27</v>
      </c>
    </row>
    <row r="18">
      <c r="A18" s="2">
        <v>46145</v>
      </c>
      <c r="B18">
        <v>-11.32</v>
      </c>
      <c r="C18" t="str">
        <v>ALDI STORES WEST FOOTSCR</v>
      </c>
      <c r="D18" t="str">
        <v>t</v>
      </c>
      <c r="F18" t="str">
        <v>Macqbill:</v>
      </c>
      <c r="G18" s="3">
        <f>F5</f>
        <v>-479.69</v>
      </c>
    </row>
    <row r="19">
      <c r="A19" s="2">
        <v>46145</v>
      </c>
      <c r="B19">
        <v>-92.33</v>
      </c>
      <c r="C19" t="str">
        <v>COLES 7664 MARIBYRNONG 03</v>
      </c>
      <c r="D19" t="str">
        <v>macq</v>
      </c>
      <c r="G19" s="3">
        <f>SUM(G15:G18)</f>
        <v>-4077.610317</v>
      </c>
      <c r="H19" t="str">
        <v>&lt;-- Chip ins - G9. If green, good. If red, bad.</v>
      </c>
    </row>
    <row r="20">
      <c r="A20" s="2">
        <v>46145</v>
      </c>
      <c r="B20">
        <v>-6.47</v>
      </c>
      <c r="C20" t="str">
        <v>EasyPark PRAHRAN AUS</v>
      </c>
      <c r="D20" t="str">
        <v>t</v>
      </c>
      <c r="J20" t="str">
        <v>COMMON TRANSACTIONS</v>
      </c>
    </row>
    <row r="21">
      <c r="A21" s="2">
        <v>46115</v>
      </c>
      <c r="B21">
        <v>-90.31</v>
      </c>
      <c r="C21" t="str">
        <v>Optus Billing MacquarieParNSW</v>
      </c>
      <c r="D21" t="str">
        <v>macqbill</v>
      </c>
      <c r="J21" t="str">
        <v>Paypal</v>
      </c>
      <c r="R21">
        <v>-1</v>
      </c>
    </row>
    <row r="22">
      <c r="A22" s="2">
        <v>46115</v>
      </c>
      <c r="B22">
        <v>-34.45</v>
      </c>
      <c r="C22" t="str">
        <v>COLES 7795 BRAYBROOK 03</v>
      </c>
      <c r="D22" t="str">
        <v>macq</v>
      </c>
      <c r="F22" t="str">
        <v>Status</v>
      </c>
      <c r="G22" t="str">
        <v xml:space="preserve">UP TO DATE: </v>
      </c>
      <c r="J22" t="str">
        <v>Paypal *Netflix Aus 4029357733</v>
      </c>
      <c r="Q22">
        <v>-57.28</v>
      </c>
      <c r="R22">
        <f>SUM(Q22*$R$21)</f>
        <v>57.28</v>
      </c>
    </row>
    <row r="23">
      <c r="A23" s="2">
        <v>46115</v>
      </c>
      <c r="B23">
        <v>-180.31</v>
      </c>
      <c r="C23" t="str">
        <v>RED ENERGY CREMORNE</v>
      </c>
      <c r="D23" t="str">
        <v>macqbill</v>
      </c>
      <c r="F23" t="str">
        <f>IF(I23=TRUE,"PAID","NOT PAID")</f>
        <v>PAID</v>
      </c>
      <c r="G23" t="str">
        <v>TONY</v>
      </c>
      <c r="H23" s="3">
        <f>IF(I23=TRUE,"",G15)-E46</f>
        <v>0</v>
      </c>
      <c r="I23" t="b">
        <v>1</v>
      </c>
      <c r="J23" t="str">
        <v>Ampol</v>
      </c>
      <c r="Q23">
        <v>-39.14</v>
      </c>
      <c r="R23">
        <f>SUM(Q23*$R$21)</f>
        <v>39.14</v>
      </c>
    </row>
    <row r="24">
      <c r="A24" s="2">
        <v>46115</v>
      </c>
      <c r="B24">
        <v>-2.28</v>
      </c>
      <c r="C24" t="str">
        <v>EasyPark PRAHRAN AUS</v>
      </c>
      <c r="D24" t="str">
        <v>t</v>
      </c>
      <c r="F24" t="str">
        <f>IF(I24=TRUE,"PAID","NOT PAID")</f>
        <v>PAID</v>
      </c>
      <c r="G24" t="str">
        <v>NUGS</v>
      </c>
      <c r="H24" s="3" t="str">
        <f>IF(I24=TRUE,"",G16)</f>
        <v/>
      </c>
      <c r="I24" t="b">
        <v>1</v>
      </c>
      <c r="J24" t="str">
        <v>Easypark</v>
      </c>
      <c r="Q24">
        <v>-80.96</v>
      </c>
      <c r="R24">
        <f>SUM(Q24*$R$21)</f>
        <v>80.96</v>
      </c>
    </row>
    <row r="25">
      <c r="A25" s="1">
        <v>46084</v>
      </c>
      <c r="B25">
        <v>-97.86</v>
      </c>
      <c r="C25" t="str">
        <v>Uniqlo Emporium Melbourne AUS</v>
      </c>
      <c r="D25" t="str">
        <v>n</v>
      </c>
      <c r="F25" t="str">
        <f>IF(I25=TRUE,"PAID","NOT PAID")</f>
        <v>PAID</v>
      </c>
      <c r="G25" t="str">
        <v>MACQ</v>
      </c>
      <c r="H25" s="3" t="str">
        <f>IF(I25=TRUE,"",G17)</f>
        <v/>
      </c>
      <c r="I25" t="b">
        <v>1</v>
      </c>
      <c r="J25" t="str">
        <v>Ampol</v>
      </c>
      <c r="Q25">
        <v>-17.7</v>
      </c>
      <c r="R25">
        <f>SUM(Q25*$R$21)</f>
        <v>17.7</v>
      </c>
    </row>
    <row r="26">
      <c r="A26" s="1">
        <v>46084</v>
      </c>
      <c r="B26">
        <v>-199</v>
      </c>
      <c r="C26" t="str">
        <v>MYER MELBOURNE CITY MELBOURNE VIC</v>
      </c>
      <c r="D26" t="str">
        <v>n</v>
      </c>
      <c r="F26" t="str">
        <f>IF(I26=TRUE,"PAID","NOT PAID")</f>
        <v>PAID</v>
      </c>
      <c r="G26" t="str">
        <v>MACQBILL</v>
      </c>
      <c r="H26" s="3" t="str">
        <f>IF(I26=TRUE,"",G18)</f>
        <v/>
      </c>
      <c r="I26" t="b">
        <v>1</v>
      </c>
      <c r="J26" t="str">
        <v>Petbarn</v>
      </c>
      <c r="Q26">
        <v>-4.6</v>
      </c>
      <c r="R26">
        <f>SUM(Q26*$R$21)</f>
        <v>4.6</v>
      </c>
    </row>
    <row r="27">
      <c r="A27" s="1">
        <v>46084</v>
      </c>
      <c r="B27">
        <v>-10.08</v>
      </c>
      <c r="C27" t="str">
        <v>EasyPark PRAHRAN AUS</v>
      </c>
      <c r="D27" t="str">
        <v>t</v>
      </c>
      <c r="F27" s="3">
        <f>SUM(F12*0.333333)</f>
        <v>105.5765611</v>
      </c>
      <c r="G27" s="3">
        <f>SUM(F12*0.666666)</f>
        <v>211.1531222</v>
      </c>
      <c r="J27" t="str">
        <v>Gww</v>
      </c>
      <c r="Q27">
        <v>-89.6</v>
      </c>
      <c r="R27">
        <f>SUM(Q27*$R$21)</f>
        <v>89.6</v>
      </c>
    </row>
    <row r="28">
      <c r="A28" s="1">
        <v>46056</v>
      </c>
      <c r="B28">
        <v>-29.46</v>
      </c>
      <c r="C28" t="str">
        <v>Song Ngu Braybrook VIC</v>
      </c>
      <c r="D28" t="str">
        <v>split</v>
      </c>
      <c r="G28" t="str">
        <v>At a Glance</v>
      </c>
      <c r="J28" t="str">
        <v>Amazon</v>
      </c>
      <c r="Q28">
        <v>-126</v>
      </c>
      <c r="R28">
        <f>SUM(Q28*$R$21)</f>
        <v>126</v>
      </c>
    </row>
    <row r="29">
      <c r="A29" s="1">
        <v>46025</v>
      </c>
      <c r="B29">
        <v>-24.24</v>
      </c>
      <c r="C29" t="str">
        <v>SECURE PARKING THE STR MELBOURNE AUS</v>
      </c>
      <c r="D29" t="str">
        <v>n</v>
      </c>
      <c r="F29" t="str">
        <v>Grocery</v>
      </c>
      <c r="G29" s="3">
        <f>I44</f>
        <v>3818.31</v>
      </c>
      <c r="J29" t="str">
        <v>AGL</v>
      </c>
      <c r="Q29">
        <v>-109.77</v>
      </c>
      <c r="R29">
        <f>SUM(Q29*$R$21)</f>
        <v>109.77</v>
      </c>
    </row>
    <row r="30">
      <c r="A30" t="str">
        <v>28/02/2026</v>
      </c>
      <c r="B30">
        <v>-24.24</v>
      </c>
      <c r="C30" t="str">
        <v>SECURE PARKING THE STR MELBOURNE AUS</v>
      </c>
      <c r="D30" t="str">
        <v>n</v>
      </c>
      <c r="F30" t="str">
        <v>Fast Food</v>
      </c>
      <c r="G30" s="3">
        <f>O37</f>
        <v>-41.9</v>
      </c>
      <c r="H30">
        <f>SUM(314.99)</f>
        <v>314.99</v>
      </c>
      <c r="J30" t="str">
        <v>Uniqlo</v>
      </c>
      <c r="Q30">
        <v>-30</v>
      </c>
      <c r="R30">
        <f>SUM(Q30*$R$21)</f>
        <v>30</v>
      </c>
    </row>
    <row r="31">
      <c r="A31" t="str">
        <v>27/02/2026</v>
      </c>
      <c r="B31">
        <v>-22.22</v>
      </c>
      <c r="C31" t="str">
        <v>SECURE PARKING THE STR MELBOURNE AUS</v>
      </c>
      <c r="D31" t="str">
        <v>n</v>
      </c>
      <c r="F31" t="str">
        <v>Resturant/Cafe</v>
      </c>
      <c r="G31" s="3">
        <f>O42</f>
        <v>0</v>
      </c>
      <c r="H31">
        <f>SUM(H30/2)</f>
        <v>157.495</v>
      </c>
      <c r="Q31">
        <v>-37.5</v>
      </c>
      <c r="R31">
        <f>SUM(Q31*$R$21)</f>
        <v>37.5</v>
      </c>
    </row>
    <row r="32">
      <c r="A32" t="str">
        <v>26/02/2026</v>
      </c>
      <c r="B32">
        <v>-36.9</v>
      </c>
      <c r="C32" t="str">
        <v>KFC Sunshine Sunshine AUS</v>
      </c>
      <c r="D32" t="str">
        <v>macq</v>
      </c>
      <c r="G32" s="3">
        <f>SUM(G17:G18)</f>
        <v>-1279.69</v>
      </c>
      <c r="M32">
        <v>6333.78</v>
      </c>
      <c r="Q32">
        <v>-21.8</v>
      </c>
      <c r="R32">
        <f>SUM(Q32*$R$21)</f>
        <v>21.8</v>
      </c>
    </row>
    <row r="33">
      <c r="A33" t="str">
        <v>26/02/2026</v>
      </c>
      <c r="B33">
        <v>-33</v>
      </c>
      <c r="C33" t="str">
        <v>COLES 7795 BRAYBROOK 03</v>
      </c>
      <c r="D33" t="str">
        <v>macq</v>
      </c>
      <c r="G33" s="3">
        <f>SUM(G15:G18)</f>
        <v>-4077.610317</v>
      </c>
      <c r="M33">
        <v>2969</v>
      </c>
      <c r="Q33">
        <v>-36.53</v>
      </c>
      <c r="R33">
        <f>SUM(Q33*$R$21)</f>
        <v>36.53</v>
      </c>
    </row>
    <row r="34">
      <c r="A34" t="str">
        <v>26/02/2026</v>
      </c>
      <c r="B34">
        <v>-15.9</v>
      </c>
      <c r="C34" t="str">
        <v>EasyPark PRAHRAN AUS</v>
      </c>
      <c r="D34" t="str">
        <v>t</v>
      </c>
      <c r="M34">
        <f>SUM(M32-M33)</f>
        <v>3364.78</v>
      </c>
      <c r="Q34">
        <v>-4.92</v>
      </c>
      <c r="R34">
        <f>SUM(Q34*$R$21)</f>
        <v>4.92</v>
      </c>
    </row>
    <row r="35">
      <c r="A35" t="str">
        <v>25/02/2026</v>
      </c>
      <c r="B35">
        <v>-27.07</v>
      </c>
      <c r="C35" t="str">
        <v>COLES 7795 BRAYBROOK 03</v>
      </c>
      <c r="D35" t="str">
        <v>macq</v>
      </c>
      <c r="F35" t="str">
        <v>Tony:</v>
      </c>
      <c r="G35" s="3">
        <f>SUM(G15,G12)</f>
        <v>-1305.986878</v>
      </c>
      <c r="M35">
        <v>4489.87</v>
      </c>
      <c r="Q35">
        <v>-101.42</v>
      </c>
      <c r="R35">
        <f>SUM(Q35*$R$21)</f>
        <v>101.42</v>
      </c>
    </row>
    <row r="36">
      <c r="A36" t="str">
        <v>25/02/2026</v>
      </c>
      <c r="B36">
        <v>-242.1</v>
      </c>
      <c r="C36" t="str">
        <v>Uniqlo Emporium Melbourne AUS</v>
      </c>
      <c r="D36" t="str">
        <v>n</v>
      </c>
      <c r="F36" t="str">
        <v>Nugs:</v>
      </c>
      <c r="G36" s="3">
        <f>SUM(G16-G12)</f>
        <v>-1491.933439</v>
      </c>
      <c r="M36">
        <f>SUM(M35-M34)</f>
        <v>1125.09</v>
      </c>
      <c r="Q36">
        <v>-13.32</v>
      </c>
      <c r="R36">
        <f>SUM(Q36*$R$21)</f>
        <v>13.32</v>
      </c>
    </row>
    <row r="37">
      <c r="A37" t="str">
        <v>24/02/2026</v>
      </c>
      <c r="B37">
        <v>-22.22</v>
      </c>
      <c r="C37" t="str">
        <v>SECURE PARKING THE STR MELBOURNE AUS</v>
      </c>
      <c r="D37" t="str">
        <v>n</v>
      </c>
      <c r="N37">
        <v>2400</v>
      </c>
      <c r="O37">
        <f>SUM(O38:O40)</f>
        <v>-41.9</v>
      </c>
      <c r="Q37">
        <v>-4.5</v>
      </c>
      <c r="R37">
        <f>SUM(Q37*$R$21)</f>
        <v>4.5</v>
      </c>
    </row>
    <row r="38" xml:space="preserve">
      <c r="A38" t="str">
        <v>24/02/2026</v>
      </c>
      <c r="B38">
        <v>-20.14</v>
      </c>
      <c r="C38" t="str">
        <v>DOOBOO SWANSTON ST MELBOURNE VIC</v>
      </c>
      <c r="D38" t="str">
        <v>n</v>
      </c>
      <c r="E38" t="str">
        <v>350 uniql;o</v>
      </c>
      <c r="M38">
        <f>SUM(M34-M36)</f>
        <v>2239.69</v>
      </c>
      <c r="N38" t="str">
        <v>sad458548412322</v>
      </c>
      <c r="O38" xml:space="preserve">
        <f xml:space="preserve">SUMPRODUCT(--(ISNUMBER(SEARCH(N38, C:C))), B:B)
</f>
        <v>0</v>
      </c>
      <c r="Q38">
        <v>-8.9</v>
      </c>
      <c r="R38">
        <f>SUM(Q38*$R$21)</f>
        <v>8.9</v>
      </c>
    </row>
    <row r="39" xml:space="preserve">
      <c r="A39" t="str">
        <v>24/02/2026</v>
      </c>
      <c r="B39">
        <v>-6.4</v>
      </c>
      <c r="C39" t="str">
        <v>Tukk &amp; Co. Docklands VIC</v>
      </c>
      <c r="D39" t="str">
        <v>t</v>
      </c>
      <c r="E39" t="str">
        <v>25 w retail</v>
      </c>
      <c r="I39" s="3">
        <f>SUM(G15:G18)</f>
        <v>-4077.610317</v>
      </c>
      <c r="K39">
        <v>3533.71</v>
      </c>
      <c r="M39">
        <f>SUM(M33-M38)</f>
        <v>729.31</v>
      </c>
      <c r="N39" t="str">
        <v>Mcdonalds</v>
      </c>
      <c r="O39" xml:space="preserve">
        <f xml:space="preserve">SUMPRODUCT(--(ISNUMBER(SEARCH(N39, C:C))), B:B)
</f>
        <v>-41.9</v>
      </c>
      <c r="Q39">
        <v>-51.33</v>
      </c>
      <c r="R39">
        <f>SUM(Q39*$R$21)</f>
        <v>51.33</v>
      </c>
    </row>
    <row r="40" xml:space="preserve">
      <c r="A40" t="str">
        <v>24/02/2026</v>
      </c>
      <c r="B40">
        <v>-12.65</v>
      </c>
      <c r="C40" t="str">
        <v>XISHENG AUSTRALIA PTY BRAYBROOK</v>
      </c>
      <c r="D40" t="str">
        <v>macq</v>
      </c>
      <c r="E40" t="str">
        <v>100 spotlight</v>
      </c>
      <c r="I40" s="3">
        <f>SUM(3818.31+I39)</f>
        <v>-259.3003167</v>
      </c>
      <c r="K40">
        <v>475.13</v>
      </c>
      <c r="N40" t="str">
        <v>Pizza Hut</v>
      </c>
      <c r="O40" xml:space="preserve">
        <f xml:space="preserve">SUMPRODUCT(--(ISNUMBER(SEARCH(N40, C:C))), B:B)
</f>
        <v>0</v>
      </c>
      <c r="Q40">
        <v>-28.65</v>
      </c>
      <c r="R40">
        <f>SUM(Q40*$R$21)</f>
        <v>28.65</v>
      </c>
    </row>
    <row r="41">
      <c r="A41" t="str">
        <v>23/02/2026</v>
      </c>
      <c r="B41">
        <v>-12.2</v>
      </c>
      <c r="C41" t="str">
        <v>COLES 7795 BRAYBROOK 03</v>
      </c>
      <c r="D41" t="str">
        <v>macq</v>
      </c>
      <c r="F41" s="3">
        <f>SUM(G17,G18)</f>
        <v>-1279.69</v>
      </c>
      <c r="I41">
        <f>SUM(2230.04+7.19)</f>
        <v>2237.23</v>
      </c>
      <c r="K41">
        <f>SUM(K39-K40)</f>
        <v>3058.58</v>
      </c>
      <c r="Q41">
        <v>-59.99</v>
      </c>
      <c r="R41">
        <f>SUM(Q41*$R$21)</f>
        <v>59.99</v>
      </c>
    </row>
    <row r="42">
      <c r="A42" t="str">
        <v>23/02/2026</v>
      </c>
      <c r="B42">
        <v>-35.42</v>
      </c>
      <c r="C42" t="str">
        <v>ALIEXPRESS.COM LONDON ENG ## GBR MERCHANT</v>
      </c>
      <c r="D42" t="str">
        <v>t</v>
      </c>
      <c r="I42">
        <v>1104.66</v>
      </c>
      <c r="N42" t="str">
        <v>Resturant/Cafe</v>
      </c>
      <c r="O42">
        <f>SUM(O43:O60)</f>
        <v>0</v>
      </c>
      <c r="Q42">
        <v>-66.16</v>
      </c>
      <c r="R42">
        <f>SUM(Q42*$R$21)</f>
        <v>66.16</v>
      </c>
    </row>
    <row r="43" xml:space="preserve">
      <c r="A43" t="str">
        <v>23/02/2026</v>
      </c>
      <c r="B43">
        <v>-294</v>
      </c>
      <c r="C43" t="str">
        <v>gu health rewards GG CAMBERWELL AUS</v>
      </c>
      <c r="D43" t="str">
        <v>t</v>
      </c>
      <c r="I43">
        <v>476.42</v>
      </c>
      <c r="M43">
        <v>2969</v>
      </c>
      <c r="N43" t="str">
        <v>Ootoro</v>
      </c>
      <c r="O43" xml:space="preserve">
        <f xml:space="preserve">SUMPRODUCT(--(ISNUMBER(SEARCH(N43, C:C))), B:B)
</f>
        <v>0</v>
      </c>
      <c r="Q43">
        <v>-244.6</v>
      </c>
      <c r="R43">
        <f>SUM(Q43*$R$21)</f>
        <v>244.6</v>
      </c>
    </row>
    <row r="44" xml:space="preserve">
      <c r="A44" t="str">
        <v>23/02/2026</v>
      </c>
      <c r="B44">
        <v>-3.71</v>
      </c>
      <c r="C44" t="str">
        <v>EasyPark PRAHRAN AUS</v>
      </c>
      <c r="D44" t="str">
        <v>t</v>
      </c>
      <c r="I44">
        <f>SUM(I41:I43)</f>
        <v>3818.31</v>
      </c>
      <c r="M44">
        <v>2969</v>
      </c>
      <c r="N44" t="str">
        <v>Brunetti</v>
      </c>
      <c r="O44" xml:space="preserve">
        <f xml:space="preserve">SUMPRODUCT(--(ISNUMBER(SEARCH(N44, C:C))), B:B)
</f>
        <v>0</v>
      </c>
      <c r="Q44">
        <v>-12.99</v>
      </c>
      <c r="R44">
        <f>SUM(Q44*$R$21)</f>
        <v>12.99</v>
      </c>
    </row>
    <row r="45" xml:space="preserve">
      <c r="A45" t="str">
        <v>23/02/2026</v>
      </c>
      <c r="B45">
        <v>-38.4</v>
      </c>
      <c r="C45" t="str">
        <v>aliexpress North SydneyAUS</v>
      </c>
      <c r="D45" t="str">
        <v>t</v>
      </c>
      <c r="E45">
        <f>SUM(B12,B18,B24,B28,B31,B34,B43,B50,B57,B69,B75,B81,B88,B102,B104)</f>
        <v>-604.17</v>
      </c>
      <c r="F45">
        <f>SUM(442+1445+87.57)</f>
        <v>1974.57</v>
      </c>
      <c r="G45" s="3" t="str">
        <v>TOTAL TONY NUG OWING TO MACQBILL</v>
      </c>
      <c r="H45" t="str">
        <v>AS OF JUNE</v>
      </c>
      <c r="I45" s="3">
        <f>SUM(G15:G18)</f>
        <v>-4077.610317</v>
      </c>
      <c r="M45">
        <v>1125.0900000000001</v>
      </c>
      <c r="N45">
        <f>SUM(M44-M45)</f>
        <v>1843.91</v>
      </c>
      <c r="O45" xml:space="preserve">
        <f xml:space="preserve">SUMPRODUCT(--(ISNUMBER(SEARCH(N45, C:C))), B:B)
</f>
        <v>0</v>
      </c>
      <c r="Q45">
        <v>-26.7</v>
      </c>
      <c r="R45">
        <f>SUM(Q45*$R$21)</f>
        <v>26.7</v>
      </c>
    </row>
    <row r="46" xml:space="preserve">
      <c r="A46" t="str">
        <v>23/02/2026</v>
      </c>
      <c r="B46">
        <v>-107.22</v>
      </c>
      <c r="C46" t="str">
        <v>aliexpress North SydneyAUS</v>
      </c>
      <c r="D46" t="str">
        <v>t</v>
      </c>
      <c r="F46">
        <f>SUM(F45/4)</f>
        <v>493.6425</v>
      </c>
      <c r="G46" s="3" t="str">
        <v>PER MONTH</v>
      </c>
      <c r="H46" t="str">
        <v>EXP SEPT CYCLE</v>
      </c>
      <c r="I46">
        <f>SUM(1361.83+1355.97+1283.83)</f>
        <v>4001.63</v>
      </c>
      <c r="M46">
        <v>1843.9099999999999</v>
      </c>
      <c r="N46" t="str">
        <v>Chicken Cafe</v>
      </c>
      <c r="O46" xml:space="preserve">
        <f xml:space="preserve">SUMPRODUCT(--(ISNUMBER(SEARCH(N46, C:C))), B:B)
</f>
        <v>0</v>
      </c>
      <c r="Q46">
        <v>-42.96</v>
      </c>
      <c r="R46">
        <f>SUM(Q46*$R$21)</f>
        <v>42.96</v>
      </c>
    </row>
    <row r="47" xml:space="preserve">
      <c r="A47" t="str">
        <v>23/02/2026</v>
      </c>
      <c r="C47" t="str">
        <v>PAYMENT RECEIVED, THANK YOU</v>
      </c>
      <c r="F47">
        <f xml:space="preserve">SUM(F46*0.33) </f>
        <v>162.902025</v>
      </c>
      <c r="G47" t="str">
        <v>NUGS</v>
      </c>
      <c r="N47" t="str">
        <v>First Taste</v>
      </c>
      <c r="O47" xml:space="preserve">
        <f xml:space="preserve">SUMPRODUCT(--(ISNUMBER(SEARCH(N47, C:C))), B:B)
</f>
        <v>0</v>
      </c>
      <c r="Q47">
        <v>-117.97</v>
      </c>
      <c r="R47">
        <f>SUM(Q47*$R$21)</f>
        <v>117.97</v>
      </c>
    </row>
    <row r="48" xml:space="preserve">
      <c r="A48" t="str">
        <v>22/02/2026</v>
      </c>
      <c r="B48">
        <v>-113.71</v>
      </c>
      <c r="C48" t="str">
        <v>PAYPAL *ETSYIRELAND 4029357733 AUS</v>
      </c>
      <c r="D48" t="str">
        <v>t</v>
      </c>
      <c r="F48">
        <f>SUM(F46*0.66)</f>
        <v>325.80405</v>
      </c>
      <c r="G48" t="str">
        <v>TONY</v>
      </c>
      <c r="N48" t="str">
        <v>Tori's</v>
      </c>
      <c r="O48" xml:space="preserve">
        <f xml:space="preserve">SUMPRODUCT(--(ISNUMBER(SEARCH(N48, C:C))), B:B)
</f>
        <v>0</v>
      </c>
      <c r="Q48">
        <v>-34.14</v>
      </c>
      <c r="R48">
        <f>SUM(Q48*$R$21)</f>
        <v>34.14</v>
      </c>
    </row>
    <row r="49" xml:space="preserve">
      <c r="A49" t="str">
        <v>22/02/2026</v>
      </c>
      <c r="B49">
        <v>20.9</v>
      </c>
      <c r="C49" t="str">
        <v>PAYPAL *KOGAN.COM 4029357733 AUS</v>
      </c>
      <c r="D49" t="str">
        <v>t</v>
      </c>
      <c r="F49" t="str">
        <v>NEXT CREDIT CARD</v>
      </c>
      <c r="G49">
        <f>SUM(F45-F46)</f>
        <v>1480.9275</v>
      </c>
      <c r="I49">
        <f>SUM(1361.83+283.83)</f>
        <v>1645.66</v>
      </c>
      <c r="J49" t="str">
        <v>tony</v>
      </c>
      <c r="N49" t="str">
        <v>Secret Lagoon</v>
      </c>
      <c r="O49" xml:space="preserve">
        <f xml:space="preserve">SUMPRODUCT(--(ISNUMBER(SEARCH(N49, C:C))), B:B)
</f>
        <v>0</v>
      </c>
      <c r="Q49">
        <v>-17.15</v>
      </c>
      <c r="R49">
        <f>SUM(Q49*$R$21)</f>
        <v>17.15</v>
      </c>
    </row>
    <row r="50" xml:space="preserve">
      <c r="A50" t="str">
        <v>22/02/2026</v>
      </c>
      <c r="B50">
        <v>-39.99</v>
      </c>
      <c r="C50" t="str">
        <v>REBEL HIGHPOINT MARIBYRNONG VIC</v>
      </c>
      <c r="D50" t="str">
        <v>t</v>
      </c>
      <c r="I50">
        <f>SUM(561.83+800)</f>
        <v>1361.83</v>
      </c>
      <c r="N50" t="str">
        <v>Universal</v>
      </c>
      <c r="O50" xml:space="preserve">
        <f xml:space="preserve">SUMPRODUCT(--(ISNUMBER(SEARCH(N50, C:C))), B:B)
</f>
        <v>0</v>
      </c>
      <c r="Q50">
        <v>-53.98</v>
      </c>
      <c r="R50">
        <f>SUM(Q50*$R$21)</f>
        <v>53.98</v>
      </c>
    </row>
    <row r="51" xml:space="preserve">
      <c r="A51" t="str">
        <v>22/02/2026</v>
      </c>
      <c r="B51">
        <v>-5.25</v>
      </c>
      <c r="C51" t="str">
        <v>CHEMIST WAREHOUSE HIGH MARIBYRNONG VIC</v>
      </c>
      <c r="D51" t="str">
        <v>macq</v>
      </c>
      <c r="F51">
        <v>2432.6396736</v>
      </c>
      <c r="G51">
        <f>SUM(F51+F48)</f>
        <v>2758.443724</v>
      </c>
      <c r="I51">
        <f>SUM(4001.63)-(I49+I50)</f>
        <v>994.14</v>
      </c>
      <c r="N51" t="str">
        <v>Pie Thief</v>
      </c>
      <c r="O51" xml:space="preserve">
        <f xml:space="preserve">SUMPRODUCT(--(ISNUMBER(SEARCH(N51, C:C))), B:B)
</f>
        <v>0</v>
      </c>
      <c r="Q51">
        <v>-65.8</v>
      </c>
      <c r="R51">
        <f>SUM(Q51*$R$21)</f>
        <v>65.8</v>
      </c>
    </row>
    <row r="52" xml:space="preserve">
      <c r="A52" t="str">
        <v>22/02/2026</v>
      </c>
      <c r="B52">
        <v>-112.56</v>
      </c>
      <c r="C52" t="str">
        <v>WWW.ALIEXPRESS.COM LONDON ## GBR MERCHANT</v>
      </c>
      <c r="D52" t="str">
        <v>t</v>
      </c>
      <c r="F52">
        <v>214.0198368</v>
      </c>
      <c r="G52">
        <f>SUM(F52+F47)</f>
        <v>376.9218618</v>
      </c>
      <c r="N52" t="str">
        <v>Tarts Anon</v>
      </c>
      <c r="O52" xml:space="preserve">
        <f xml:space="preserve">SUMPRODUCT(--(ISNUMBER(SEARCH(N52, C:C))), B:B)
</f>
        <v>0</v>
      </c>
      <c r="Q52">
        <v>-1.84</v>
      </c>
      <c r="R52">
        <f>SUM(Q52*$R$21)</f>
        <v>1.84</v>
      </c>
    </row>
    <row r="53" xml:space="preserve">
      <c r="A53" t="str">
        <v>22/02/2026</v>
      </c>
      <c r="B53">
        <v>-9.1</v>
      </c>
      <c r="C53" t="str">
        <v>WWW.ALIEXPRESS.COM LONDON ## GBR MERCHANT</v>
      </c>
      <c r="D53" t="str">
        <v>t</v>
      </c>
      <c r="N53" t="str">
        <v>Migrant Coffee</v>
      </c>
      <c r="O53" xml:space="preserve">
        <f xml:space="preserve">SUMPRODUCT(--(ISNUMBER(SEARCH(N53, C:C))), B:B)
</f>
        <v>0</v>
      </c>
      <c r="Q53">
        <v>-43.99</v>
      </c>
      <c r="R53">
        <f>SUM(Q53*$R$21)</f>
        <v>43.99</v>
      </c>
    </row>
    <row r="54" xml:space="preserve">
      <c r="A54" t="str">
        <v>22/02/2026</v>
      </c>
      <c r="B54">
        <v>-131.75</v>
      </c>
      <c r="C54" t="str">
        <v>ZLR*Torissong Carlton AUS</v>
      </c>
      <c r="D54" t="str">
        <v>split</v>
      </c>
      <c r="F54" t="str">
        <v>OWING TO MACQBILL REMAINING</v>
      </c>
      <c r="I54">
        <v>283.83</v>
      </c>
      <c r="N54" t="str">
        <v>Oh Happy Day</v>
      </c>
      <c r="O54" xml:space="preserve">
        <f xml:space="preserve">SUMPRODUCT(--(ISNUMBER(SEARCH(N54, C:C))), B:B)
</f>
        <v>0</v>
      </c>
      <c r="Q54">
        <v>-79.27</v>
      </c>
      <c r="R54">
        <f>SUM(Q54*$R$21)</f>
        <v>79.27</v>
      </c>
    </row>
    <row r="55" xml:space="preserve">
      <c r="A55" t="str">
        <v>22/02/2026</v>
      </c>
      <c r="B55">
        <v>-6</v>
      </c>
      <c r="C55" t="str">
        <v>SQ *CHARRD Brunswick EaVI</v>
      </c>
      <c r="D55" t="str">
        <v>split</v>
      </c>
      <c r="F55">
        <v>325.80405</v>
      </c>
      <c r="G55" s="3" t="str">
        <v>LAST OUTSTANDING PAYMENT IN SEPT</v>
      </c>
      <c r="I55">
        <v>1355.97</v>
      </c>
      <c r="N55" t="str">
        <v>Gor</v>
      </c>
      <c r="O55" xml:space="preserve">
        <f xml:space="preserve">SUMPRODUCT(--(ISNUMBER(SEARCH(N55, C:C))), B:B)
</f>
        <v>0</v>
      </c>
      <c r="Q55">
        <v>-6.04</v>
      </c>
      <c r="R55">
        <f>SUM(Q55*$R$21)</f>
        <v>6.04</v>
      </c>
    </row>
    <row r="56" xml:space="preserve">
      <c r="A56" t="str">
        <v>22/02/2026</v>
      </c>
      <c r="B56">
        <v>-45</v>
      </c>
      <c r="C56" t="str">
        <v>SQ *CHARRD Brunswick EaVI</v>
      </c>
      <c r="D56" t="str">
        <v>split</v>
      </c>
      <c r="F56" t="str">
        <v>PAID in SEPT</v>
      </c>
      <c r="I56">
        <f>SUM(I54,I55)</f>
        <v>1639.8</v>
      </c>
      <c r="N56" t="str">
        <v>Sushi Hub</v>
      </c>
      <c r="O56" xml:space="preserve">
        <f xml:space="preserve">SUMPRODUCT(--(ISNUMBER(SEARCH(N56, C:C))), B:B)
</f>
        <v>0</v>
      </c>
      <c r="Q56">
        <v>-99.96</v>
      </c>
      <c r="R56">
        <f>SUM(Q56*$R$21)</f>
        <v>99.96</v>
      </c>
    </row>
    <row r="57" xml:space="preserve">
      <c r="A57" t="str">
        <v>22/02/2026</v>
      </c>
      <c r="B57">
        <v>-16.5</v>
      </c>
      <c r="C57" t="str">
        <v>WOOLWORTHS 3079 MARIBYRNONG VI</v>
      </c>
      <c r="D57" t="str">
        <v>macq</v>
      </c>
      <c r="F57">
        <f>SUM(B3,B4,B7,B11,B23,B27,B28,B33,B38,B42,B48,B49,B50,B56,B61,B69,B70,B71,B73,B76,B82,B85,B86,B94)</f>
        <v>-874.8</v>
      </c>
      <c r="G57" t="str">
        <v>eating out</v>
      </c>
      <c r="I57">
        <v>107.2</v>
      </c>
      <c r="N57" t="str">
        <v>Axil</v>
      </c>
      <c r="O57" xml:space="preserve">
        <f xml:space="preserve">SUMPRODUCT(--(ISNUMBER(SEARCH(N57, C:C))), B:B)
</f>
        <v>0</v>
      </c>
      <c r="Q57">
        <v>-79.96</v>
      </c>
      <c r="R57">
        <f>SUM(Q57*$R$21)</f>
        <v>79.96</v>
      </c>
    </row>
    <row r="58" xml:space="preserve">
      <c r="A58" t="str">
        <v>22/02/2026</v>
      </c>
      <c r="B58">
        <v>-19.73</v>
      </c>
      <c r="C58" t="str">
        <v>SQ *JASPER HIGHPOINT Maribyrnong VI</v>
      </c>
      <c r="D58" t="str">
        <v>t</v>
      </c>
      <c r="F58">
        <f>SUM(B9,B10,B13,B14,B17,B20,B26,B36,B43,B44,B47,B51,B55,B72,B74,B81,B83,B90,B99)</f>
        <v>-1164.33</v>
      </c>
      <c r="I58">
        <v>454.63</v>
      </c>
      <c r="N58">
        <v>520</v>
      </c>
      <c r="O58" xml:space="preserve">
        <f xml:space="preserve">SUMPRODUCT(--(ISNUMBER(SEARCH(N58, C:C))), B:B)
</f>
        <v>0</v>
      </c>
      <c r="Q58">
        <v>-12.99</v>
      </c>
      <c r="R58">
        <f>SUM(Q58*$R$21)</f>
        <v>12.99</v>
      </c>
    </row>
    <row r="59" xml:space="preserve">
      <c r="A59" t="str">
        <v>22/02/2026</v>
      </c>
      <c r="B59">
        <v>-21.45</v>
      </c>
      <c r="C59" t="str">
        <v>SP SMOOTHSALES CAULFIELD SOVIC</v>
      </c>
      <c r="D59" t="str">
        <v>t</v>
      </c>
      <c r="I59">
        <f>SUM(I57:I58)</f>
        <v>561.83</v>
      </c>
      <c r="J59">
        <f>SUM(I59,I60)</f>
        <v>1361.83</v>
      </c>
      <c r="N59">
        <v>273</v>
      </c>
      <c r="O59" xml:space="preserve">
        <f xml:space="preserve">SUMPRODUCT(--(ISNUMBER(SEARCH(N59, C:C))), B:B)
</f>
        <v>0</v>
      </c>
      <c r="Q59">
        <v>-12.15</v>
      </c>
      <c r="R59">
        <f>SUM(Q59*$R$21)</f>
        <v>12.15</v>
      </c>
    </row>
    <row r="60" xml:space="preserve">
      <c r="A60" t="str">
        <v>22/02/2026</v>
      </c>
      <c r="B60">
        <v>-20.9</v>
      </c>
      <c r="C60" t="str">
        <v>PAYPAL *KOGAN.COM 4029357733 AUS</v>
      </c>
      <c r="D60" t="str">
        <v>t</v>
      </c>
      <c r="I60">
        <v>800</v>
      </c>
      <c r="N60">
        <v>156</v>
      </c>
      <c r="O60" xml:space="preserve">
        <f xml:space="preserve">SUMPRODUCT(--(ISNUMBER(SEARCH(N60, C:C))), B:B)
</f>
        <v>0</v>
      </c>
      <c r="Q60">
        <v>-28.27</v>
      </c>
      <c r="R60">
        <f>SUM(Q60*$R$21)</f>
        <v>28.27</v>
      </c>
    </row>
    <row r="61">
      <c r="A61" t="str">
        <v>21/02/2026</v>
      </c>
      <c r="B61">
        <v>-12.91</v>
      </c>
      <c r="C61" t="str">
        <v>LITTLESPARROW B0526 MELBOURNE VI</v>
      </c>
      <c r="D61" t="str">
        <v>n</v>
      </c>
      <c r="F61" s="3">
        <v>3985.81261566</v>
      </c>
      <c r="I61">
        <v>1000</v>
      </c>
      <c r="N61">
        <f>SUM(N58:N60)</f>
        <v>949</v>
      </c>
      <c r="Q61">
        <v>-69.89</v>
      </c>
      <c r="R61">
        <f>SUM(Q61*$R$21)</f>
        <v>69.89</v>
      </c>
    </row>
    <row r="62">
      <c r="A62" t="str">
        <v>21/02/2026</v>
      </c>
      <c r="B62">
        <v>-66.25</v>
      </c>
      <c r="C62" t="str">
        <v>POP MART OCEANIA PTY L Sydney AUS</v>
      </c>
      <c r="D62" t="str">
        <v>split</v>
      </c>
      <c r="F62">
        <v>3652.5</v>
      </c>
      <c r="G62" s="3">
        <f>SUM(G16, G15, G17, G18)</f>
        <v>-4077.610317</v>
      </c>
      <c r="I62">
        <f>SUM(I56,I59:I61)</f>
        <v>4001.63</v>
      </c>
      <c r="Q62">
        <v>-1220.92</v>
      </c>
      <c r="R62">
        <f>SUM(Q62*$R$21)</f>
        <v>1220.92</v>
      </c>
    </row>
    <row r="63">
      <c r="A63" t="str">
        <v>21/02/2026</v>
      </c>
      <c r="B63">
        <v>-24.51</v>
      </c>
      <c r="C63" t="str">
        <v>SQ *MIGA KOREAN JEONGS Melbourne VI</v>
      </c>
      <c r="D63" t="str">
        <v>n</v>
      </c>
      <c r="E63" t="str">
        <v>INVESTIGATE</v>
      </c>
      <c r="F63" s="3">
        <f>SUM(F61-F62)</f>
        <v>333.3126157</v>
      </c>
      <c r="I63" s="2">
        <f>SUM(1361.83+283.83)</f>
        <v>1645.66</v>
      </c>
      <c r="Q63">
        <v>-32.68</v>
      </c>
      <c r="R63">
        <f>SUM(Q63*$R$21)</f>
        <v>32.68</v>
      </c>
    </row>
    <row r="64">
      <c r="A64" t="str">
        <v>21/02/2026</v>
      </c>
      <c r="B64">
        <v>-24.24</v>
      </c>
      <c r="C64" t="str">
        <v>SECURE PARKING THE STR MELBOURNE AUS</v>
      </c>
      <c r="D64" t="str">
        <v>n</v>
      </c>
      <c r="J64" s="3" t="str">
        <v>Latest Formula 9pm</v>
      </c>
      <c r="Q64">
        <v>-58.66</v>
      </c>
      <c r="R64">
        <f>SUM(Q64*$R$21)</f>
        <v>58.66</v>
      </c>
    </row>
    <row r="65">
      <c r="A65" t="str">
        <v>20/02/2026</v>
      </c>
      <c r="B65">
        <v>-23.42</v>
      </c>
      <c r="C65" t="str">
        <v>eBay O*08-14264-89602 Sydney AUS</v>
      </c>
      <c r="D65" t="str">
        <v>t</v>
      </c>
      <c r="F65">
        <v>325.8</v>
      </c>
      <c r="J65" s="3">
        <v>2417.8199999999983</v>
      </c>
      <c r="K65" t="str">
        <v>Tony's</v>
      </c>
      <c r="L65" s="3">
        <v>6861.38</v>
      </c>
      <c r="Q65">
        <v>6861.38</v>
      </c>
      <c r="R65">
        <f>SUM(Q65*$R$21)</f>
        <v>-6861.38</v>
      </c>
    </row>
    <row r="66">
      <c r="A66" t="str">
        <v>20/02/2026</v>
      </c>
      <c r="B66">
        <v>-22.22</v>
      </c>
      <c r="C66" t="str">
        <v>SECURE PARKING THE STR MELBOURNE AUS</v>
      </c>
      <c r="D66" t="str">
        <v>n</v>
      </c>
      <c r="I66" s="5" t="str">
        <v>+</v>
      </c>
      <c r="J66" s="3">
        <v>545.44</v>
      </c>
      <c r="K66" t="str">
        <v>Nugget's</v>
      </c>
      <c r="L66" s="3">
        <v>3395.9700000000003</v>
      </c>
      <c r="Q66">
        <v>-32.23</v>
      </c>
      <c r="R66">
        <f>SUM(Q66*$R$21)</f>
        <v>32.23</v>
      </c>
    </row>
    <row r="67">
      <c r="A67" t="str">
        <v>19/02/2026</v>
      </c>
      <c r="B67">
        <v>-19.47</v>
      </c>
      <c r="C67" t="str">
        <v>CWH DOCKLANDS DOCKLANDS VIC</v>
      </c>
      <c r="D67" t="str">
        <v>t</v>
      </c>
      <c r="F67" t="str">
        <v>1.5k (500 downsairs) took 200 for vinnies kid</v>
      </c>
      <c r="I67" s="5" t="str">
        <v>+</v>
      </c>
      <c r="J67" s="3">
        <v>502.15</v>
      </c>
      <c r="K67" t="str">
        <v>Macquerie's Over $800 excess</v>
      </c>
      <c r="L67" s="3">
        <v>3465.4099999999985</v>
      </c>
      <c r="Q67">
        <v>-7</v>
      </c>
      <c r="R67">
        <f>SUM(Q67*$R$21)</f>
        <v>7</v>
      </c>
    </row>
    <row r="68">
      <c r="A68" t="str">
        <v>19/02/2026</v>
      </c>
      <c r="B68">
        <v>-13.32</v>
      </c>
      <c r="C68" t="str">
        <v>TDD Parking East Docklands VIC</v>
      </c>
      <c r="D68" t="str">
        <v>t</v>
      </c>
      <c r="F68" t="str">
        <v>tony paid vinnies' -200 (2.3)</v>
      </c>
      <c r="J68" s="3">
        <v>3465.4099999999985</v>
      </c>
      <c r="K68" t="str">
        <v>Total to Pay</v>
      </c>
      <c r="L68" s="3">
        <v>6861.379999999999</v>
      </c>
      <c r="Q68">
        <v>-13.99</v>
      </c>
      <c r="R68">
        <f>SUM(Q68*$R$21)</f>
        <v>13.99</v>
      </c>
    </row>
    <row r="69">
      <c r="A69" t="str">
        <v>19/02/2026</v>
      </c>
      <c r="B69">
        <v>-8.75</v>
      </c>
      <c r="C69" t="str">
        <v>WOOLWORTHS 3779 DOCKLANDS VI</v>
      </c>
      <c r="D69" t="str">
        <v>t</v>
      </c>
      <c r="F69" t="str">
        <v>AS OF 11/23/2025</v>
      </c>
      <c r="J69" s="6">
        <v>800</v>
      </c>
      <c r="K69" t="str">
        <v>Macq</v>
      </c>
      <c r="Q69">
        <v>-78.5</v>
      </c>
      <c r="R69">
        <f>SUM(Q69*$R$21)</f>
        <v>78.5</v>
      </c>
    </row>
    <row r="70">
      <c r="A70" t="str">
        <v>19/02/2026</v>
      </c>
      <c r="B70">
        <v>-17.07</v>
      </c>
      <c r="C70" t="str">
        <v>Urban Street Kitchen Docklands VIC</v>
      </c>
      <c r="D70" t="str">
        <v>t</v>
      </c>
      <c r="F70" t="str">
        <v>macqbill owes tony 2.5</v>
      </c>
      <c r="J70" s="3">
        <v>564.49</v>
      </c>
      <c r="K70" t="str">
        <v>Macbill</v>
      </c>
      <c r="L70" s="3">
        <v>1364.49</v>
      </c>
      <c r="Q70">
        <v>-33.2</v>
      </c>
      <c r="R70">
        <f>SUM(Q70*$R$21)</f>
        <v>33.2</v>
      </c>
    </row>
    <row r="71">
      <c r="A71" t="str">
        <v>19/02/2026</v>
      </c>
      <c r="B71">
        <v>-6.4</v>
      </c>
      <c r="C71" t="str">
        <v>Tukk &amp; Co. Docklands VIC</v>
      </c>
      <c r="D71" t="str">
        <v>t</v>
      </c>
      <c r="F71" t="str">
        <v>macqbill owes tony 2.3</v>
      </c>
      <c r="J71" s="3">
        <v>2031.48</v>
      </c>
      <c r="K71" t="str">
        <v>Harvey Stuff</v>
      </c>
      <c r="Q71">
        <v>-85.29</v>
      </c>
      <c r="R71">
        <f>SUM(Q71*$R$21)</f>
        <v>85.29</v>
      </c>
    </row>
    <row r="72">
      <c r="A72" t="str">
        <v>19/02/2026</v>
      </c>
      <c r="B72">
        <v>-5.89</v>
      </c>
      <c r="C72" t="str">
        <v>EasyPark PRAHRAN AUS</v>
      </c>
      <c r="D72" t="str">
        <v>t</v>
      </c>
      <c r="F72" s="3" t="str">
        <v>Macbill owes tony $1178</v>
      </c>
      <c r="J72" s="3">
        <v>4.649999999998599</v>
      </c>
      <c r="K72" t="str">
        <v>Remaining</v>
      </c>
      <c r="Q72">
        <v>-36.5</v>
      </c>
      <c r="R72">
        <f>SUM(Q72*$R$21)</f>
        <v>36.5</v>
      </c>
    </row>
    <row r="73">
      <c r="A73" t="str">
        <v>18/02/2026</v>
      </c>
      <c r="B73">
        <v>-58.79</v>
      </c>
      <c r="C73" t="str">
        <v>ALDI STORES WEST FOOTSCR</v>
      </c>
      <c r="D73" t="str">
        <v>macq</v>
      </c>
      <c r="F73" s="3" t="str">
        <v>Nugs owe macbill $561</v>
      </c>
      <c r="Q73">
        <v>-100</v>
      </c>
      <c r="R73">
        <f>SUM(Q73*$R$21)</f>
        <v>100</v>
      </c>
    </row>
    <row r="74">
      <c r="A74" t="str">
        <v>18/02/2026</v>
      </c>
      <c r="B74">
        <v>-41.9</v>
      </c>
      <c r="C74" t="str">
        <v>McDonalds 950055 SUNSHINE AUS</v>
      </c>
      <c r="D74" t="str">
        <v>macq</v>
      </c>
      <c r="Q74">
        <v>-28.55</v>
      </c>
      <c r="R74">
        <f>SUM(Q74*$R$21)</f>
        <v>28.55</v>
      </c>
    </row>
    <row r="75">
      <c r="A75" t="str">
        <v>18/02/2026</v>
      </c>
      <c r="B75">
        <v>-15.99</v>
      </c>
      <c r="C75" t="str">
        <v>PAYPAL *DISNEYPLUS 4029357733 AUS</v>
      </c>
      <c r="D75" t="str">
        <v>macqbill</v>
      </c>
      <c r="F75" t="str">
        <v>Nugs owe macbill $311 as of 22/01/2025</v>
      </c>
      <c r="G75">
        <f>SUM(561-250)</f>
        <v>311</v>
      </c>
      <c r="Q75">
        <v>-117.74</v>
      </c>
      <c r="R75">
        <f>SUM(Q75*$R$21)</f>
        <v>117.74</v>
      </c>
    </row>
    <row r="76">
      <c r="A76" t="str">
        <v>17/02/2026</v>
      </c>
      <c r="B76">
        <v>-22.22</v>
      </c>
      <c r="C76" t="str">
        <v>SECURE PARKING THE STR MELBOURNE AUS</v>
      </c>
      <c r="D76" t="str">
        <v>n</v>
      </c>
      <c r="F76" t="str">
        <v xml:space="preserve">Jan bill &gt; Nugs to add 155.5 to "Japan" </v>
      </c>
      <c r="G76">
        <v>155.5</v>
      </c>
      <c r="Q76">
        <v>-28</v>
      </c>
      <c r="R76">
        <f>SUM(Q76*$R$21)</f>
        <v>28</v>
      </c>
    </row>
    <row r="77">
      <c r="A77" t="str">
        <v>17/02/2026</v>
      </c>
      <c r="B77">
        <v>-141.98</v>
      </c>
      <c r="C77" t="str">
        <v>MYPROTEIN ALTRINCHAM ENG ## GBR MERCHANT</v>
      </c>
      <c r="D77" t="str">
        <v>t</v>
      </c>
      <c r="F77" t="str">
        <v xml:space="preserve">Feb bill &gt; Nugs to add 155.5 to "Japan" </v>
      </c>
      <c r="G77">
        <v>155.5</v>
      </c>
      <c r="Q77">
        <v>-1.91</v>
      </c>
      <c r="R77">
        <f>SUM(Q77*$R$21)</f>
        <v>1.91</v>
      </c>
    </row>
    <row r="78">
      <c r="A78" t="str">
        <v>17/02/2026</v>
      </c>
      <c r="B78">
        <v>-3.3</v>
      </c>
      <c r="C78" t="str">
        <v>EasyPark PRAHRAN AUS</v>
      </c>
      <c r="D78" t="str">
        <v>t</v>
      </c>
      <c r="Q78">
        <v>-1.03</v>
      </c>
      <c r="R78">
        <f>SUM(Q78*$R$21)</f>
        <v>1.03</v>
      </c>
    </row>
    <row r="79">
      <c r="A79" t="str">
        <v>16/02/2026</v>
      </c>
      <c r="B79">
        <v>-277.51</v>
      </c>
      <c r="C79" t="str">
        <v>ZLR*Supernormal Melbourne AUS</v>
      </c>
      <c r="D79" t="str">
        <v>n</v>
      </c>
      <c r="Q79">
        <v>-0.49</v>
      </c>
      <c r="R79">
        <f>SUM(Q79*$R$21)</f>
        <v>0.49</v>
      </c>
    </row>
    <row r="80">
      <c r="A80" t="str">
        <v>16/02/2026</v>
      </c>
      <c r="B80">
        <v>-26.51</v>
      </c>
      <c r="C80" t="str">
        <v>ALDI STORES WEST FOOTSCR</v>
      </c>
      <c r="D80" t="str">
        <v>macq</v>
      </c>
      <c r="Q80">
        <v>-37.5</v>
      </c>
      <c r="R80">
        <f>SUM(Q80*$R$21)</f>
        <v>37.5</v>
      </c>
    </row>
    <row r="81">
      <c r="A81" t="str">
        <v>16/02/2026</v>
      </c>
      <c r="B81">
        <v>-32.44</v>
      </c>
      <c r="C81" t="str">
        <v>WILSON PARKING MEL169 MELBOURNE VIC</v>
      </c>
      <c r="D81" t="str">
        <v>n</v>
      </c>
      <c r="Q81">
        <v>-16.82</v>
      </c>
      <c r="R81">
        <f>SUM(Q81*$R$21)</f>
        <v>16.82</v>
      </c>
    </row>
    <row r="82">
      <c r="A82" t="str">
        <v>16/02/2026</v>
      </c>
      <c r="B82">
        <v>-59.77</v>
      </c>
      <c r="C82" t="str">
        <v>SQ *PALETTE. North MelbouVI</v>
      </c>
      <c r="D82" t="str">
        <v>n</v>
      </c>
      <c r="Q82">
        <v>-99.2</v>
      </c>
      <c r="R82">
        <f>SUM(Q82*$R$21)</f>
        <v>99.2</v>
      </c>
    </row>
    <row r="83">
      <c r="A83" t="str">
        <v>16/02/2026</v>
      </c>
      <c r="B83">
        <v>-9.79</v>
      </c>
      <c r="C83" t="str">
        <v>MAGIC MONKEI ITAPEMA, MEISC ##0226 6.89 US DOLLAR</v>
      </c>
      <c r="D83" t="str">
        <v>t</v>
      </c>
      <c r="Q83">
        <v>-66</v>
      </c>
      <c r="R83">
        <f>SUM(Q83*$R$21)</f>
        <v>66</v>
      </c>
    </row>
    <row r="84">
      <c r="A84" t="str">
        <v>16/02/2026</v>
      </c>
      <c r="B84">
        <v>-65</v>
      </c>
      <c r="C84" t="str">
        <v>Superloop Limited BRISBANE AUS</v>
      </c>
      <c r="D84" t="str">
        <v>macqbill</v>
      </c>
    </row>
    <row r="85">
      <c r="A85" t="str">
        <v>15/02/2026</v>
      </c>
      <c r="B85">
        <v>-24.24</v>
      </c>
      <c r="C85" t="str">
        <v>SECURE PARKING THE STR MELBOURNE AUS</v>
      </c>
      <c r="D85" t="str">
        <v>n</v>
      </c>
    </row>
    <row r="86">
      <c r="A86" t="str">
        <v>15/02/2026</v>
      </c>
      <c r="B86">
        <v>-10.83</v>
      </c>
      <c r="C86" t="str">
        <v>LITTLESPARROW B0526 MELBOURNE VI</v>
      </c>
      <c r="D86" t="str">
        <v>n</v>
      </c>
      <c r="F86">
        <v>1090</v>
      </c>
    </row>
    <row r="87">
      <c r="A87" t="str">
        <v>15/02/2026</v>
      </c>
      <c r="B87">
        <v>-116.9</v>
      </c>
      <c r="C87" t="str">
        <v>Beauty Genesis Melbourne VIC</v>
      </c>
      <c r="D87" t="str">
        <v>n</v>
      </c>
    </row>
    <row r="88">
      <c r="A88" t="str">
        <v>15/02/2026</v>
      </c>
      <c r="B88" s="7">
        <v>-98</v>
      </c>
      <c r="C88" t="str">
        <v>gu health rewards GK CAMBERWELL AUS</v>
      </c>
      <c r="D88" t="str">
        <v>t</v>
      </c>
    </row>
    <row r="89">
      <c r="A89" t="str">
        <v>14/02/2026</v>
      </c>
      <c r="B89">
        <v>-98</v>
      </c>
      <c r="C89" t="str">
        <v>gu health rewards GT CAMBERWELL AUS</v>
      </c>
      <c r="D89" t="str">
        <v>t</v>
      </c>
      <c r="G89">
        <v>399.96</v>
      </c>
      <c r="H89">
        <v>266.64</v>
      </c>
      <c r="I89">
        <f>SUM(G89-H89)</f>
        <v>133.32</v>
      </c>
      <c r="J89" t="str">
        <v>extra money from the $200</v>
      </c>
    </row>
    <row r="90">
      <c r="A90" t="str">
        <v>14/02/2026</v>
      </c>
      <c r="B90">
        <v>-24.24</v>
      </c>
      <c r="C90" t="str">
        <v>SECURE PARKING THE STR MELBOURNE AUS</v>
      </c>
      <c r="D90" t="str">
        <v>n</v>
      </c>
      <c r="G90">
        <v>199.98</v>
      </c>
      <c r="H90">
        <v>133.32</v>
      </c>
      <c r="I90">
        <f>SUM(G90-H90)</f>
        <v>66.66</v>
      </c>
    </row>
    <row r="91">
      <c r="A91" t="str">
        <v>13/02/2026</v>
      </c>
      <c r="B91">
        <v>-22.76</v>
      </c>
      <c r="C91" t="str">
        <v>Tukk &amp; Co. Docklands VIC</v>
      </c>
      <c r="D91" t="str">
        <v>t</v>
      </c>
    </row>
    <row r="92">
      <c r="A92" t="str">
        <v>13/02/2026</v>
      </c>
      <c r="B92">
        <v>-12.82</v>
      </c>
      <c r="C92" t="str">
        <v>Boost Juice Melbourne MELBOURNE</v>
      </c>
      <c r="D92" t="str">
        <v>n</v>
      </c>
    </row>
    <row r="93">
      <c r="A93" t="str">
        <v>13/02/2026</v>
      </c>
      <c r="B93">
        <v>-13.32</v>
      </c>
      <c r="C93" t="str">
        <v>TDD Parking East Docklands VIC</v>
      </c>
      <c r="D93" t="str">
        <v>t</v>
      </c>
    </row>
    <row r="94">
      <c r="A94" s="1">
        <v>46358</v>
      </c>
      <c r="B94">
        <v>-41.4</v>
      </c>
      <c r="C94" t="str">
        <v>COLES 7691 BRAYBROOK 03</v>
      </c>
      <c r="D94" t="str">
        <v>macq</v>
      </c>
    </row>
    <row r="95">
      <c r="A95" s="1">
        <v>46358</v>
      </c>
      <c r="B95">
        <v>-21.37</v>
      </c>
      <c r="C95" t="str">
        <v>ASIAN FOOD STORE BRAYBROOK</v>
      </c>
      <c r="D95" t="str">
        <v>macq</v>
      </c>
    </row>
    <row r="96">
      <c r="A96" s="1">
        <v>46358</v>
      </c>
      <c r="B96">
        <v>-2.45</v>
      </c>
      <c r="C96" t="str">
        <v>EasyPark PRAHRAN AUS</v>
      </c>
      <c r="D96" t="str">
        <v>t</v>
      </c>
    </row>
    <row r="97">
      <c r="A97" s="1">
        <v>46328</v>
      </c>
      <c r="B97">
        <v>-6.93</v>
      </c>
      <c r="C97" t="str">
        <v>EasyPark PRAHRAN AUS</v>
      </c>
      <c r="D97" t="str">
        <v>t</v>
      </c>
      <c r="G97" s="3">
        <v>6253.47</v>
      </c>
    </row>
    <row r="98">
      <c r="A98" s="1">
        <v>46328</v>
      </c>
      <c r="B98">
        <v>-2</v>
      </c>
      <c r="C98" t="str">
        <v>OFFICEWORKS 0305 MARIBYRNONG 03</v>
      </c>
      <c r="D98" t="str">
        <v>t</v>
      </c>
      <c r="G98" t="str">
        <v/>
      </c>
      <c r="H98">
        <f>SUM(545*12)</f>
        <v>6540</v>
      </c>
    </row>
    <row r="99">
      <c r="A99" s="1">
        <v>46328</v>
      </c>
      <c r="B99">
        <v>-4.49</v>
      </c>
      <c r="C99" t="str">
        <v>PAYPAL *APPLE.COM/BILL 4029357733 AUS</v>
      </c>
      <c r="D99" t="str">
        <v>t</v>
      </c>
      <c r="G99" s="4" t="str">
        <v>Havies Distributed</v>
      </c>
      <c r="H99">
        <f>SUM(250*2)*12</f>
        <v>6000</v>
      </c>
    </row>
    <row r="100">
      <c r="A100" s="1">
        <v>46328</v>
      </c>
      <c r="B100">
        <v>-59.97</v>
      </c>
      <c r="C100" t="str">
        <v>FOREVER NEW CLOTHING P ESSENDON FIE</v>
      </c>
      <c r="D100" t="str">
        <v>n</v>
      </c>
      <c r="G100" s="3">
        <v>371.18499999999983</v>
      </c>
      <c r="H100">
        <f>SUM(H98:H99)</f>
        <v>12540</v>
      </c>
    </row>
    <row r="101">
      <c r="A101" s="1">
        <v>46328</v>
      </c>
      <c r="C101" t="str">
        <v>PAYPAL *SELLEROYALG 0444461100 ITA ##0226 159.00 EURO NATL CURR UNI</v>
      </c>
      <c r="D101" t="str">
        <v>p</v>
      </c>
    </row>
    <row r="102">
      <c r="A102" s="1">
        <v>46328</v>
      </c>
      <c r="C102" t="str">
        <v>PAYPAL *SELLEROYALG 0444461100 ITA ##0226 127.20 EURO NATL CURR UNI</v>
      </c>
      <c r="D102" t="str">
        <v>p</v>
      </c>
      <c r="G102" s="4" t="str">
        <v>TOTAL</v>
      </c>
    </row>
    <row r="103">
      <c r="A103" s="2">
        <v>46297</v>
      </c>
      <c r="B103">
        <v>-22.22</v>
      </c>
      <c r="C103" t="str">
        <v>SECURE PARKING THE STR MELBOURNE AUS</v>
      </c>
      <c r="D103" t="str">
        <v>n</v>
      </c>
      <c r="G103" s="3">
        <v>-3577.3350765599994</v>
      </c>
    </row>
    <row r="104">
      <c r="F104">
        <f>SUM(3557-545)</f>
        <v>3012</v>
      </c>
      <c r="G104" s="3">
        <v>-1460.10253828</v>
      </c>
    </row>
    <row r="105">
      <c r="G105" s="3">
        <v>-800</v>
      </c>
    </row>
    <row r="106">
      <c r="G106" s="3">
        <v>-436.03000000000003</v>
      </c>
    </row>
    <row r="107">
      <c r="F107">
        <f>(169*12)</f>
        <v>2028</v>
      </c>
    </row>
    <row r="108"/>
    <row r="109">
      <c r="G109" s="3">
        <f>SUM(G103:G106)</f>
        <v>-6273.467615</v>
      </c>
    </row>
    <row r="110"/>
    <row r="111">
      <c r="F111" s="3">
        <v>482.53</v>
      </c>
      <c r="G111" t="str">
        <v>Tonys credit</v>
      </c>
    </row>
    <row r="112">
      <c r="H112" s="3">
        <v>157.495</v>
      </c>
      <c r="I112" s="3">
        <f>SUM(H112,H113)</f>
        <v>262.4906167</v>
      </c>
    </row>
    <row r="113">
      <c r="F113" s="3">
        <v>157.495</v>
      </c>
      <c r="G113" t="str">
        <v>tony/nugs</v>
      </c>
      <c r="H113" s="3">
        <v>104.99561670000001</v>
      </c>
      <c r="I113" t="str">
        <v>tonys pay</v>
      </c>
      <c r="J113">
        <v>-314.99</v>
      </c>
    </row>
    <row r="114">
      <c r="F114" s="3">
        <v>157.495</v>
      </c>
      <c r="G114" t="str">
        <v>jon/nina</v>
      </c>
      <c r="H114" s="3">
        <v>52.49780835000001</v>
      </c>
      <c r="I114" t="str">
        <v>Nugs</v>
      </c>
    </row>
    <row r="115"/>
    <row r="116">
      <c r="F116" s="3">
        <f>SUM(F111-H113-F114)</f>
        <v>220.0393833</v>
      </c>
    </row>
    <row r="117"/>
    <row r="118"/>
    <row r="119"/>
    <row r="120"/>
    <row r="121"/>
    <row r="122">
      <c r="F122">
        <v>-314.99</v>
      </c>
    </row>
    <row r="123"/>
    <row r="124">
      <c r="G124" s="3">
        <v>6253.47</v>
      </c>
    </row>
    <row r="125">
      <c r="G125" s="3">
        <f>SUM(G124-399)</f>
        <v>5854.47</v>
      </c>
    </row>
    <row r="126"/>
    <row r="127"/>
    <row r="128"/>
    <row r="129"/>
    <row r="130"/>
    <row r="131"/>
    <row r="132">
      <c r="F132">
        <v>25.119999999999997</v>
      </c>
    </row>
    <row r="133">
      <c r="F133">
        <v>40.4</v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</sheetData>
  <mergeCells count="7">
    <mergeCell ref="F1:G1"/>
    <mergeCell ref="J11:K11"/>
    <mergeCell ref="J20:L20"/>
    <mergeCell ref="N20:P20"/>
    <mergeCell ref="A47:B47"/>
    <mergeCell ref="F56:G56"/>
    <mergeCell ref="J64:K64"/>
  </mergeCells>
  <ignoredErrors>
    <ignoredError numberStoredAsText="1" sqref="A1:R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